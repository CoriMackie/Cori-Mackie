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mean flow" sheetId="1" state="visible" r:id="rId3"/>
    <sheet name="Sour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<sst xmlns="http://schemas.openxmlformats.org/spreadsheetml/2006/main" count="36" uniqueCount="35">
  <si>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West Wailuaiki Stream near Keanae, Maui (USGS 16518000) — annual mean flow</t>
  </si>
  <si>
    <t xml:space="preserve">Mean of daily discharge per water year (Oct–Sep). Gauge sits above the Koolau Ditch, so this is flow before diversion. Source and notes on the Source sheet.</t>
  </si>
  <si>
    <t xml:space="preserve">Water year</t>
  </si>
  <si>
    <t xml:space="preserve">Mean flow (ft³/s)</t>
  </si>
  <si>
    <t xml:space="preserve">Days of data</t>
  </si>
  <si>
    <t xml:space="preserve">Complete (≥90% of days)</t>
  </si>
  <si>
    <t xml:space="preserve">Year used in trend</t>
  </si>
  <si>
    <t xml:space="preserve">Flow used in trend</t>
  </si>
  <si>
    <t xml:space="preserve">Summary (complete years only)</t>
  </si>
  <si>
    <t xml:space="preserve">Complete water years</t>
  </si>
  <si>
    <t xml:space="preserve">Trend, ft³/s per year (SLOPE)</t>
  </si>
  <si>
    <t xml:space="preserve">Trend over 100 years, ft³/s</t>
  </si>
  <si>
    <t xml:space="preserve">Mean, 1915–1949 (first 30 complete years)</t>
  </si>
  <si>
    <t xml:space="preserve">Mean, 1997–2026 (last 30 complete years)</t>
  </si>
  <si>
    <t xml:space="preserve">Change, last 30 vs first 30</t>
  </si>
  <si>
    <t xml:space="preserve">Mean, all complete years</t>
  </si>
  <si>
    <t xml:space="preserve">Gauge</t>
  </si>
  <si>
    <t xml:space="preserve">USGS 16518000, West Wailuaiki Stream near Keanae, Maui, HI</t>
  </si>
  <si>
    <t xml:space="preserve">Location</t>
  </si>
  <si>
    <t xml:space="preserve">1,550 ft elevation, drainage area 3.59 sq mi, above the Koolau Ditch (flow before diversion)</t>
  </si>
  <si>
    <t xml:space="preserve">Data</t>
  </si>
  <si>
    <t xml:space="preserve">Daily mean discharge, ft³/s (parameter 00060, statistic 00003), 1914-01-01 to 2026-09-30</t>
  </si>
  <si>
    <t xml:space="preserve">Retrieved</t>
  </si>
  <si>
    <t xml:space="preserve">2026-10-02, by Cori Mackie</t>
  </si>
  <si>
    <t xml:space="preserve">URL</t>
  </si>
  <si>
    <t xml:space="preserve">https://waterservices.usgs.gov/nwis/dv/?sites=16518000&amp;parameterCd=00060&amp;startDT=1900-01-01&amp;format=rdb</t>
  </si>
  <si>
    <t xml:space="preserve">Raw file</t>
  </si>
  <si>
    <t xml:space="preserve">data/usgs-16518000/daily-discharge.rdb in the repository</t>
  </si>
  <si>
    <t xml:space="preserve">Gaps</t>
  </si>
  <si>
    <t xml:space="preserve">Water years 1918–1921 have no data. 1914 and 1916 have under 90% of days and are left out of the trend.</t>
  </si>
  <si>
    <t xml:space="preserve">Quality</t>
  </si>
  <si>
    <t xml:space="preserve">227 days are USGS estimates (A:e); the last 77 days are provisional (P) and may be revised.</t>
  </si>
  <si>
    <t xml:space="preserve">October 1 to September 30, named for the year it ends in.</t>
  </si>
  <si>
    <t xml:space="preserve">Gauge position</t>
  </si>
  <si>
    <t xml:space="preserve">Above the Koolau Ditch per CWRM Instream Flow Standard Assessment Report PR-2009-08 — confirm in the report before citing.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</si>
</sst>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General"/>
    <numFmt numFmtId="167" formatCode="0"/>
    <numFmt numFmtId="168" formatCode="0.000"/>
    <numFmt numFmtId="169" formatCode="0.0"/>
    <numFmt numFmtId="170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3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n">
        <v>1914</v>
      </c>
      <c r="B5" s="6" t="n">
        <v>63.84</v>
      </c>
      <c r="C5" s="7" t="n">
        <v>273</v>
      </c>
      <c r="D5" s="8" t="b">
        <f aca="false">C5&gt;=0.9*365</f>
        <v>0</v>
      </c>
      <c r="E5" s="5" t="str">
        <f aca="false">IF(D5,A5,"")</f>
        <v/>
      </c>
      <c r="F5" s="9" t="str">
        <f aca="false">IF(D5,B5,"")</f>
        <v/>
      </c>
      <c r="H5" s="10" t="s">
        <v>8</v>
      </c>
    </row>
    <row r="6" customFormat="false" ht="15" hidden="false" customHeight="true" outlineLevel="0" collapsed="false">
      <c r="A6" s="5" t="n">
        <v>1915</v>
      </c>
      <c r="B6" s="6" t="n">
        <v>34.18</v>
      </c>
      <c r="C6" s="7" t="n">
        <v>365</v>
      </c>
      <c r="D6" s="8" t="b">
        <f aca="false">C6&gt;=0.9*365</f>
        <v>1</v>
      </c>
      <c r="E6" s="5" t="n">
        <f aca="false">IF(D6,A6,"")</f>
        <v>1915</v>
      </c>
      <c r="F6" s="9" t="n">
        <f aca="false">IF(D6,B6,"")</f>
        <v>34.18</v>
      </c>
      <c r="H6" s="11" t="s">
        <v>9</v>
      </c>
      <c r="I6" s="12" t="n">
        <f aca="false">COUNT($F$5:$F$113)</f>
        <v>107</v>
      </c>
    </row>
    <row r="7" customFormat="false" ht="15" hidden="false" customHeight="true" outlineLevel="0" collapsed="false">
      <c r="A7" s="5" t="n">
        <v>1916</v>
      </c>
      <c r="B7" s="6" t="n">
        <v>55.23</v>
      </c>
      <c r="C7" s="7" t="n">
        <v>214</v>
      </c>
      <c r="D7" s="8" t="b">
        <f aca="false">C7&gt;=0.9*365</f>
        <v>0</v>
      </c>
      <c r="E7" s="5" t="str">
        <f aca="false">IF(D7,A7,"")</f>
        <v/>
      </c>
      <c r="F7" s="9" t="str">
        <f aca="false">IF(D7,B7,"")</f>
        <v/>
      </c>
      <c r="H7" s="11" t="s">
        <v>10</v>
      </c>
      <c r="I7" s="13" t="n">
        <f aca="false">SLOPE($F$5:$F$113,$E$5:$E$113)</f>
        <v>-0.154001354204809</v>
      </c>
    </row>
    <row r="8" customFormat="false" ht="15" hidden="false" customHeight="true" outlineLevel="0" collapsed="false">
      <c r="A8" s="5" t="n">
        <v>1917</v>
      </c>
      <c r="B8" s="6" t="n">
        <v>30.47</v>
      </c>
      <c r="C8" s="7" t="n">
        <v>364</v>
      </c>
      <c r="D8" s="8" t="b">
        <f aca="false">C8&gt;=0.9*365</f>
        <v>1</v>
      </c>
      <c r="E8" s="5" t="n">
        <f aca="false">IF(D8,A8,"")</f>
        <v>1917</v>
      </c>
      <c r="F8" s="9" t="n">
        <f aca="false">IF(D8,B8,"")</f>
        <v>30.47</v>
      </c>
      <c r="H8" s="11" t="s">
        <v>11</v>
      </c>
      <c r="I8" s="14" t="n">
        <f aca="false">I7*100</f>
        <v>-15.4001354204809</v>
      </c>
    </row>
    <row r="9" customFormat="false" ht="15" hidden="false" customHeight="true" outlineLevel="0" collapsed="false">
      <c r="A9" s="5" t="n">
        <v>1922</v>
      </c>
      <c r="B9" s="6" t="n">
        <v>85.52</v>
      </c>
      <c r="C9" s="7" t="n">
        <v>334</v>
      </c>
      <c r="D9" s="8" t="b">
        <f aca="false">C9&gt;=0.9*365</f>
        <v>1</v>
      </c>
      <c r="E9" s="5" t="n">
        <f aca="false">IF(D9,A9,"")</f>
        <v>1922</v>
      </c>
      <c r="F9" s="9" t="n">
        <f aca="false">IF(D9,B9,"")</f>
        <v>85.52</v>
      </c>
      <c r="H9" s="11" t="s">
        <v>12</v>
      </c>
      <c r="I9" s="14" t="n">
        <f aca="false">AVERAGEIFS($F$5:$F$113,$E$5:$E$113,"&gt;=1915",$E$5:$E$113,"&lt;=1949")</f>
        <v>39.675</v>
      </c>
    </row>
    <row r="10" customFormat="false" ht="15" hidden="false" customHeight="true" outlineLevel="0" collapsed="false">
      <c r="A10" s="5" t="n">
        <v>1923</v>
      </c>
      <c r="B10" s="6" t="n">
        <v>39.63</v>
      </c>
      <c r="C10" s="7" t="n">
        <v>365</v>
      </c>
      <c r="D10" s="8" t="b">
        <f aca="false">C10&gt;=0.9*365</f>
        <v>1</v>
      </c>
      <c r="E10" s="5" t="n">
        <f aca="false">IF(D10,A10,"")</f>
        <v>1923</v>
      </c>
      <c r="F10" s="9" t="n">
        <f aca="false">IF(D10,B10,"")</f>
        <v>39.63</v>
      </c>
      <c r="H10" s="11" t="s">
        <v>13</v>
      </c>
      <c r="I10" s="14" t="n">
        <f aca="false">AVERAGEIFS($F$5:$F$113,$E$5:$E$113,"&gt;=1997",$E$5:$E$113,"&lt;=2026")</f>
        <v>26.021</v>
      </c>
    </row>
    <row r="11" customFormat="false" ht="15" hidden="false" customHeight="true" outlineLevel="0" collapsed="false">
      <c r="A11" s="5" t="n">
        <v>1924</v>
      </c>
      <c r="B11" s="6" t="n">
        <v>43.06</v>
      </c>
      <c r="C11" s="7" t="n">
        <v>366</v>
      </c>
      <c r="D11" s="8" t="b">
        <f aca="false">C11&gt;=0.9*365</f>
        <v>1</v>
      </c>
      <c r="E11" s="5" t="n">
        <f aca="false">IF(D11,A11,"")</f>
        <v>1924</v>
      </c>
      <c r="F11" s="9" t="n">
        <f aca="false">IF(D11,B11,"")</f>
        <v>43.06</v>
      </c>
      <c r="H11" s="11" t="s">
        <v>14</v>
      </c>
      <c r="I11" s="15" t="n">
        <f aca="false">I10/I9-1</f>
        <v>-0.344146187775677</v>
      </c>
    </row>
    <row r="12" customFormat="false" ht="15" hidden="false" customHeight="true" outlineLevel="0" collapsed="false">
      <c r="A12" s="5" t="n">
        <v>1925</v>
      </c>
      <c r="B12" s="6" t="n">
        <v>45.21</v>
      </c>
      <c r="C12" s="7" t="n">
        <v>365</v>
      </c>
      <c r="D12" s="8" t="b">
        <f aca="false">C12&gt;=0.9*365</f>
        <v>1</v>
      </c>
      <c r="E12" s="5" t="n">
        <f aca="false">IF(D12,A12,"")</f>
        <v>1925</v>
      </c>
      <c r="F12" s="9" t="n">
        <f aca="false">IF(D12,B12,"")</f>
        <v>45.21</v>
      </c>
      <c r="H12" s="11" t="s">
        <v>15</v>
      </c>
      <c r="I12" s="14" t="n">
        <f aca="false">AVERAGE($F$5:$F$113)</f>
        <v>33.1041121495327</v>
      </c>
    </row>
    <row r="13" customFormat="false" ht="15" hidden="false" customHeight="true" outlineLevel="0" collapsed="false">
      <c r="A13" s="5" t="n">
        <v>1926</v>
      </c>
      <c r="B13" s="6" t="n">
        <v>15.59</v>
      </c>
      <c r="C13" s="7" t="n">
        <v>365</v>
      </c>
      <c r="D13" s="8" t="b">
        <f aca="false">C13&gt;=0.9*365</f>
        <v>1</v>
      </c>
      <c r="E13" s="5" t="n">
        <f aca="false">IF(D13,A13,"")</f>
        <v>1926</v>
      </c>
      <c r="F13" s="9" t="n">
        <f aca="false">IF(D13,B13,"")</f>
        <v>15.59</v>
      </c>
    </row>
    <row r="14" customFormat="false" ht="15" hidden="false" customHeight="true" outlineLevel="0" collapsed="false">
      <c r="A14" s="5" t="n">
        <v>1927</v>
      </c>
      <c r="B14" s="6" t="n">
        <v>33</v>
      </c>
      <c r="C14" s="7" t="n">
        <v>365</v>
      </c>
      <c r="D14" s="8" t="b">
        <f aca="false">C14&gt;=0.9*365</f>
        <v>1</v>
      </c>
      <c r="E14" s="5" t="n">
        <f aca="false">IF(D14,A14,"")</f>
        <v>1927</v>
      </c>
      <c r="F14" s="9" t="n">
        <f aca="false">IF(D14,B14,"")</f>
        <v>33</v>
      </c>
    </row>
    <row r="15" customFormat="false" ht="15" hidden="false" customHeight="true" outlineLevel="0" collapsed="false">
      <c r="A15" s="5" t="n">
        <v>1928</v>
      </c>
      <c r="B15" s="6" t="n">
        <v>37.85</v>
      </c>
      <c r="C15" s="7" t="n">
        <v>366</v>
      </c>
      <c r="D15" s="8" t="b">
        <f aca="false">C15&gt;=0.9*365</f>
        <v>1</v>
      </c>
      <c r="E15" s="5" t="n">
        <f aca="false">IF(D15,A15,"")</f>
        <v>1928</v>
      </c>
      <c r="F15" s="9" t="n">
        <f aca="false">IF(D15,B15,"")</f>
        <v>37.85</v>
      </c>
    </row>
    <row r="16" customFormat="false" ht="15" hidden="false" customHeight="true" outlineLevel="0" collapsed="false">
      <c r="A16" s="5" t="n">
        <v>1929</v>
      </c>
      <c r="B16" s="6" t="n">
        <v>40.14</v>
      </c>
      <c r="C16" s="7" t="n">
        <v>365</v>
      </c>
      <c r="D16" s="8" t="b">
        <f aca="false">C16&gt;=0.9*365</f>
        <v>1</v>
      </c>
      <c r="E16" s="5" t="n">
        <f aca="false">IF(D16,A16,"")</f>
        <v>1929</v>
      </c>
      <c r="F16" s="9" t="n">
        <f aca="false">IF(D16,B16,"")</f>
        <v>40.14</v>
      </c>
    </row>
    <row r="17" customFormat="false" ht="15" hidden="false" customHeight="true" outlineLevel="0" collapsed="false">
      <c r="A17" s="5" t="n">
        <v>1930</v>
      </c>
      <c r="B17" s="6" t="n">
        <v>63.69</v>
      </c>
      <c r="C17" s="7" t="n">
        <v>365</v>
      </c>
      <c r="D17" s="8" t="b">
        <f aca="false">C17&gt;=0.9*365</f>
        <v>1</v>
      </c>
      <c r="E17" s="5" t="n">
        <f aca="false">IF(D17,A17,"")</f>
        <v>1930</v>
      </c>
      <c r="F17" s="9" t="n">
        <f aca="false">IF(D17,B17,"")</f>
        <v>63.69</v>
      </c>
    </row>
    <row r="18" customFormat="false" ht="15" hidden="false" customHeight="true" outlineLevel="0" collapsed="false">
      <c r="A18" s="5" t="n">
        <v>1931</v>
      </c>
      <c r="B18" s="6" t="n">
        <v>38.41</v>
      </c>
      <c r="C18" s="7" t="n">
        <v>365</v>
      </c>
      <c r="D18" s="8" t="b">
        <f aca="false">C18&gt;=0.9*365</f>
        <v>1</v>
      </c>
      <c r="E18" s="5" t="n">
        <f aca="false">IF(D18,A18,"")</f>
        <v>1931</v>
      </c>
      <c r="F18" s="9" t="n">
        <f aca="false">IF(D18,B18,"")</f>
        <v>38.41</v>
      </c>
    </row>
    <row r="19" customFormat="false" ht="15" hidden="false" customHeight="true" outlineLevel="0" collapsed="false">
      <c r="A19" s="5" t="n">
        <v>1932</v>
      </c>
      <c r="B19" s="6" t="n">
        <v>53.66</v>
      </c>
      <c r="C19" s="7" t="n">
        <v>366</v>
      </c>
      <c r="D19" s="8" t="b">
        <f aca="false">C19&gt;=0.9*365</f>
        <v>1</v>
      </c>
      <c r="E19" s="5" t="n">
        <f aca="false">IF(D19,A19,"")</f>
        <v>1932</v>
      </c>
      <c r="F19" s="9" t="n">
        <f aca="false">IF(D19,B19,"")</f>
        <v>53.66</v>
      </c>
    </row>
    <row r="20" customFormat="false" ht="15" hidden="false" customHeight="true" outlineLevel="0" collapsed="false">
      <c r="A20" s="5" t="n">
        <v>1933</v>
      </c>
      <c r="B20" s="6" t="n">
        <v>20.13</v>
      </c>
      <c r="C20" s="7" t="n">
        <v>365</v>
      </c>
      <c r="D20" s="8" t="b">
        <f aca="false">C20&gt;=0.9*365</f>
        <v>1</v>
      </c>
      <c r="E20" s="5" t="n">
        <f aca="false">IF(D20,A20,"")</f>
        <v>1933</v>
      </c>
      <c r="F20" s="9" t="n">
        <f aca="false">IF(D20,B20,"")</f>
        <v>20.13</v>
      </c>
    </row>
    <row r="21" customFormat="false" ht="15" hidden="false" customHeight="true" outlineLevel="0" collapsed="false">
      <c r="A21" s="5" t="n">
        <v>1934</v>
      </c>
      <c r="B21" s="6" t="n">
        <v>33.06</v>
      </c>
      <c r="C21" s="7" t="n">
        <v>365</v>
      </c>
      <c r="D21" s="8" t="b">
        <f aca="false">C21&gt;=0.9*365</f>
        <v>1</v>
      </c>
      <c r="E21" s="5" t="n">
        <f aca="false">IF(D21,A21,"")</f>
        <v>1934</v>
      </c>
      <c r="F21" s="9" t="n">
        <f aca="false">IF(D21,B21,"")</f>
        <v>33.06</v>
      </c>
    </row>
    <row r="22" customFormat="false" ht="15" hidden="false" customHeight="true" outlineLevel="0" collapsed="false">
      <c r="A22" s="5" t="n">
        <v>1935</v>
      </c>
      <c r="B22" s="6" t="n">
        <v>39.66</v>
      </c>
      <c r="C22" s="7" t="n">
        <v>365</v>
      </c>
      <c r="D22" s="8" t="b">
        <f aca="false">C22&gt;=0.9*365</f>
        <v>1</v>
      </c>
      <c r="E22" s="5" t="n">
        <f aca="false">IF(D22,A22,"")</f>
        <v>1935</v>
      </c>
      <c r="F22" s="9" t="n">
        <f aca="false">IF(D22,B22,"")</f>
        <v>39.66</v>
      </c>
    </row>
    <row r="23" customFormat="false" ht="15" hidden="false" customHeight="true" outlineLevel="0" collapsed="false">
      <c r="A23" s="5" t="n">
        <v>1936</v>
      </c>
      <c r="B23" s="6" t="n">
        <v>26.53</v>
      </c>
      <c r="C23" s="7" t="n">
        <v>366</v>
      </c>
      <c r="D23" s="8" t="b">
        <f aca="false">C23&gt;=0.9*365</f>
        <v>1</v>
      </c>
      <c r="E23" s="5" t="n">
        <f aca="false">IF(D23,A23,"")</f>
        <v>1936</v>
      </c>
      <c r="F23" s="9" t="n">
        <f aca="false">IF(D23,B23,"")</f>
        <v>26.53</v>
      </c>
    </row>
    <row r="24" customFormat="false" ht="15" hidden="false" customHeight="true" outlineLevel="0" collapsed="false">
      <c r="A24" s="5" t="n">
        <v>1937</v>
      </c>
      <c r="B24" s="6" t="n">
        <v>65.35</v>
      </c>
      <c r="C24" s="7" t="n">
        <v>365</v>
      </c>
      <c r="D24" s="8" t="b">
        <f aca="false">C24&gt;=0.9*365</f>
        <v>1</v>
      </c>
      <c r="E24" s="5" t="n">
        <f aca="false">IF(D24,A24,"")</f>
        <v>1937</v>
      </c>
      <c r="F24" s="9" t="n">
        <f aca="false">IF(D24,B24,"")</f>
        <v>65.35</v>
      </c>
    </row>
    <row r="25" customFormat="false" ht="15" hidden="false" customHeight="true" outlineLevel="0" collapsed="false">
      <c r="A25" s="5" t="n">
        <v>1938</v>
      </c>
      <c r="B25" s="6" t="n">
        <v>56.23</v>
      </c>
      <c r="C25" s="7" t="n">
        <v>365</v>
      </c>
      <c r="D25" s="8" t="b">
        <f aca="false">C25&gt;=0.9*365</f>
        <v>1</v>
      </c>
      <c r="E25" s="5" t="n">
        <f aca="false">IF(D25,A25,"")</f>
        <v>1938</v>
      </c>
      <c r="F25" s="9" t="n">
        <f aca="false">IF(D25,B25,"")</f>
        <v>56.23</v>
      </c>
    </row>
    <row r="26" customFormat="false" ht="15" hidden="false" customHeight="true" outlineLevel="0" collapsed="false">
      <c r="A26" s="5" t="n">
        <v>1939</v>
      </c>
      <c r="B26" s="6" t="n">
        <v>37.74</v>
      </c>
      <c r="C26" s="7" t="n">
        <v>365</v>
      </c>
      <c r="D26" s="8" t="b">
        <f aca="false">C26&gt;=0.9*365</f>
        <v>1</v>
      </c>
      <c r="E26" s="5" t="n">
        <f aca="false">IF(D26,A26,"")</f>
        <v>1939</v>
      </c>
      <c r="F26" s="9" t="n">
        <f aca="false">IF(D26,B26,"")</f>
        <v>37.74</v>
      </c>
    </row>
    <row r="27" customFormat="false" ht="15" hidden="false" customHeight="true" outlineLevel="0" collapsed="false">
      <c r="A27" s="5" t="n">
        <v>1940</v>
      </c>
      <c r="B27" s="6" t="n">
        <v>26.66</v>
      </c>
      <c r="C27" s="7" t="n">
        <v>366</v>
      </c>
      <c r="D27" s="8" t="b">
        <f aca="false">C27&gt;=0.9*365</f>
        <v>1</v>
      </c>
      <c r="E27" s="5" t="n">
        <f aca="false">IF(D27,A27,"")</f>
        <v>1940</v>
      </c>
      <c r="F27" s="9" t="n">
        <f aca="false">IF(D27,B27,"")</f>
        <v>26.66</v>
      </c>
    </row>
    <row r="28" customFormat="false" ht="15" hidden="false" customHeight="true" outlineLevel="0" collapsed="false">
      <c r="A28" s="5" t="n">
        <v>1941</v>
      </c>
      <c r="B28" s="6" t="n">
        <v>31.08</v>
      </c>
      <c r="C28" s="7" t="n">
        <v>365</v>
      </c>
      <c r="D28" s="8" t="b">
        <f aca="false">C28&gt;=0.9*365</f>
        <v>1</v>
      </c>
      <c r="E28" s="5" t="n">
        <f aca="false">IF(D28,A28,"")</f>
        <v>1941</v>
      </c>
      <c r="F28" s="9" t="n">
        <f aca="false">IF(D28,B28,"")</f>
        <v>31.08</v>
      </c>
    </row>
    <row r="29" customFormat="false" ht="15" hidden="false" customHeight="true" outlineLevel="0" collapsed="false">
      <c r="A29" s="5" t="n">
        <v>1942</v>
      </c>
      <c r="B29" s="6" t="n">
        <v>64.16</v>
      </c>
      <c r="C29" s="7" t="n">
        <v>365</v>
      </c>
      <c r="D29" s="8" t="b">
        <f aca="false">C29&gt;=0.9*365</f>
        <v>1</v>
      </c>
      <c r="E29" s="5" t="n">
        <f aca="false">IF(D29,A29,"")</f>
        <v>1942</v>
      </c>
      <c r="F29" s="9" t="n">
        <f aca="false">IF(D29,B29,"")</f>
        <v>64.16</v>
      </c>
    </row>
    <row r="30" customFormat="false" ht="15" hidden="false" customHeight="true" outlineLevel="0" collapsed="false">
      <c r="A30" s="5" t="n">
        <v>1943</v>
      </c>
      <c r="B30" s="6" t="n">
        <v>26.33</v>
      </c>
      <c r="C30" s="7" t="n">
        <v>365</v>
      </c>
      <c r="D30" s="8" t="b">
        <f aca="false">C30&gt;=0.9*365</f>
        <v>1</v>
      </c>
      <c r="E30" s="5" t="n">
        <f aca="false">IF(D30,A30,"")</f>
        <v>1943</v>
      </c>
      <c r="F30" s="9" t="n">
        <f aca="false">IF(D30,B30,"")</f>
        <v>26.33</v>
      </c>
    </row>
    <row r="31" customFormat="false" ht="15" hidden="false" customHeight="true" outlineLevel="0" collapsed="false">
      <c r="A31" s="5" t="n">
        <v>1944</v>
      </c>
      <c r="B31" s="6" t="n">
        <v>15.53</v>
      </c>
      <c r="C31" s="7" t="n">
        <v>366</v>
      </c>
      <c r="D31" s="8" t="b">
        <f aca="false">C31&gt;=0.9*365</f>
        <v>1</v>
      </c>
      <c r="E31" s="5" t="n">
        <f aca="false">IF(D31,A31,"")</f>
        <v>1944</v>
      </c>
      <c r="F31" s="9" t="n">
        <f aca="false">IF(D31,B31,"")</f>
        <v>15.53</v>
      </c>
    </row>
    <row r="32" customFormat="false" ht="15" hidden="false" customHeight="true" outlineLevel="0" collapsed="false">
      <c r="A32" s="5" t="n">
        <v>1945</v>
      </c>
      <c r="B32" s="6" t="n">
        <v>24.02</v>
      </c>
      <c r="C32" s="7" t="n">
        <v>365</v>
      </c>
      <c r="D32" s="8" t="b">
        <f aca="false">C32&gt;=0.9*365</f>
        <v>1</v>
      </c>
      <c r="E32" s="5" t="n">
        <f aca="false">IF(D32,A32,"")</f>
        <v>1945</v>
      </c>
      <c r="F32" s="9" t="n">
        <f aca="false">IF(D32,B32,"")</f>
        <v>24.02</v>
      </c>
    </row>
    <row r="33" customFormat="false" ht="15" hidden="false" customHeight="true" outlineLevel="0" collapsed="false">
      <c r="A33" s="5" t="n">
        <v>1946</v>
      </c>
      <c r="B33" s="6" t="n">
        <v>35.62</v>
      </c>
      <c r="C33" s="7" t="n">
        <v>365</v>
      </c>
      <c r="D33" s="8" t="b">
        <f aca="false">C33&gt;=0.9*365</f>
        <v>1</v>
      </c>
      <c r="E33" s="5" t="n">
        <f aca="false">IF(D33,A33,"")</f>
        <v>1946</v>
      </c>
      <c r="F33" s="9" t="n">
        <f aca="false">IF(D33,B33,"")</f>
        <v>35.62</v>
      </c>
    </row>
    <row r="34" customFormat="false" ht="15" hidden="false" customHeight="true" outlineLevel="0" collapsed="false">
      <c r="A34" s="5" t="n">
        <v>1947</v>
      </c>
      <c r="B34" s="6" t="n">
        <v>41.47</v>
      </c>
      <c r="C34" s="7" t="n">
        <v>365</v>
      </c>
      <c r="D34" s="8" t="b">
        <f aca="false">C34&gt;=0.9*365</f>
        <v>1</v>
      </c>
      <c r="E34" s="5" t="n">
        <f aca="false">IF(D34,A34,"")</f>
        <v>1947</v>
      </c>
      <c r="F34" s="9" t="n">
        <f aca="false">IF(D34,B34,"")</f>
        <v>41.47</v>
      </c>
    </row>
    <row r="35" customFormat="false" ht="15" hidden="false" customHeight="true" outlineLevel="0" collapsed="false">
      <c r="A35" s="5" t="n">
        <v>1948</v>
      </c>
      <c r="B35" s="6" t="n">
        <v>55.71</v>
      </c>
      <c r="C35" s="7" t="n">
        <v>366</v>
      </c>
      <c r="D35" s="8" t="b">
        <f aca="false">C35&gt;=0.9*365</f>
        <v>1</v>
      </c>
      <c r="E35" s="5" t="n">
        <f aca="false">IF(D35,A35,"")</f>
        <v>1948</v>
      </c>
      <c r="F35" s="9" t="n">
        <f aca="false">IF(D35,B35,"")</f>
        <v>55.71</v>
      </c>
    </row>
    <row r="36" customFormat="false" ht="15" hidden="false" customHeight="true" outlineLevel="0" collapsed="false">
      <c r="A36" s="5" t="n">
        <v>1949</v>
      </c>
      <c r="B36" s="6" t="n">
        <v>30.56</v>
      </c>
      <c r="C36" s="7" t="n">
        <v>365</v>
      </c>
      <c r="D36" s="8" t="b">
        <f aca="false">C36&gt;=0.9*365</f>
        <v>1</v>
      </c>
      <c r="E36" s="5" t="n">
        <f aca="false">IF(D36,A36,"")</f>
        <v>1949</v>
      </c>
      <c r="F36" s="9" t="n">
        <f aca="false">IF(D36,B36,"")</f>
        <v>30.56</v>
      </c>
    </row>
    <row r="37" customFormat="false" ht="15" hidden="false" customHeight="true" outlineLevel="0" collapsed="false">
      <c r="A37" s="5" t="n">
        <v>1950</v>
      </c>
      <c r="B37" s="6" t="n">
        <v>37.04</v>
      </c>
      <c r="C37" s="7" t="n">
        <v>365</v>
      </c>
      <c r="D37" s="8" t="b">
        <f aca="false">C37&gt;=0.9*365</f>
        <v>1</v>
      </c>
      <c r="E37" s="5" t="n">
        <f aca="false">IF(D37,A37,"")</f>
        <v>1950</v>
      </c>
      <c r="F37" s="9" t="n">
        <f aca="false">IF(D37,B37,"")</f>
        <v>37.04</v>
      </c>
    </row>
    <row r="38" customFormat="false" ht="15" hidden="false" customHeight="true" outlineLevel="0" collapsed="false">
      <c r="A38" s="5" t="n">
        <v>1951</v>
      </c>
      <c r="B38" s="6" t="n">
        <v>30.58</v>
      </c>
      <c r="C38" s="7" t="n">
        <v>365</v>
      </c>
      <c r="D38" s="8" t="b">
        <f aca="false">C38&gt;=0.9*365</f>
        <v>1</v>
      </c>
      <c r="E38" s="5" t="n">
        <f aca="false">IF(D38,A38,"")</f>
        <v>1951</v>
      </c>
      <c r="F38" s="9" t="n">
        <f aca="false">IF(D38,B38,"")</f>
        <v>30.58</v>
      </c>
    </row>
    <row r="39" customFormat="false" ht="15" hidden="false" customHeight="true" outlineLevel="0" collapsed="false">
      <c r="A39" s="5" t="n">
        <v>1952</v>
      </c>
      <c r="B39" s="6" t="n">
        <v>27.14</v>
      </c>
      <c r="C39" s="7" t="n">
        <v>366</v>
      </c>
      <c r="D39" s="8" t="b">
        <f aca="false">C39&gt;=0.9*365</f>
        <v>1</v>
      </c>
      <c r="E39" s="5" t="n">
        <f aca="false">IF(D39,A39,"")</f>
        <v>1952</v>
      </c>
      <c r="F39" s="9" t="n">
        <f aca="false">IF(D39,B39,"")</f>
        <v>27.14</v>
      </c>
    </row>
    <row r="40" customFormat="false" ht="15" hidden="false" customHeight="true" outlineLevel="0" collapsed="false">
      <c r="A40" s="5" t="n">
        <v>1953</v>
      </c>
      <c r="B40" s="6" t="n">
        <v>22.43</v>
      </c>
      <c r="C40" s="7" t="n">
        <v>365</v>
      </c>
      <c r="D40" s="8" t="b">
        <f aca="false">C40&gt;=0.9*365</f>
        <v>1</v>
      </c>
      <c r="E40" s="5" t="n">
        <f aca="false">IF(D40,A40,"")</f>
        <v>1953</v>
      </c>
      <c r="F40" s="9" t="n">
        <f aca="false">IF(D40,B40,"")</f>
        <v>22.43</v>
      </c>
    </row>
    <row r="41" customFormat="false" ht="15" hidden="false" customHeight="true" outlineLevel="0" collapsed="false">
      <c r="A41" s="5" t="n">
        <v>1954</v>
      </c>
      <c r="B41" s="6" t="n">
        <v>28.65</v>
      </c>
      <c r="C41" s="7" t="n">
        <v>365</v>
      </c>
      <c r="D41" s="8" t="b">
        <f aca="false">C41&gt;=0.9*365</f>
        <v>1</v>
      </c>
      <c r="E41" s="5" t="n">
        <f aca="false">IF(D41,A41,"")</f>
        <v>1954</v>
      </c>
      <c r="F41" s="9" t="n">
        <f aca="false">IF(D41,B41,"")</f>
        <v>28.65</v>
      </c>
    </row>
    <row r="42" customFormat="false" ht="15" hidden="false" customHeight="true" outlineLevel="0" collapsed="false">
      <c r="A42" s="5" t="n">
        <v>1955</v>
      </c>
      <c r="B42" s="6" t="n">
        <v>46.44</v>
      </c>
      <c r="C42" s="7" t="n">
        <v>365</v>
      </c>
      <c r="D42" s="8" t="b">
        <f aca="false">C42&gt;=0.9*365</f>
        <v>1</v>
      </c>
      <c r="E42" s="5" t="n">
        <f aca="false">IF(D42,A42,"")</f>
        <v>1955</v>
      </c>
      <c r="F42" s="9" t="n">
        <f aca="false">IF(D42,B42,"")</f>
        <v>46.44</v>
      </c>
    </row>
    <row r="43" customFormat="false" ht="15" hidden="false" customHeight="true" outlineLevel="0" collapsed="false">
      <c r="A43" s="5" t="n">
        <v>1956</v>
      </c>
      <c r="B43" s="6" t="n">
        <v>36.97</v>
      </c>
      <c r="C43" s="7" t="n">
        <v>366</v>
      </c>
      <c r="D43" s="8" t="b">
        <f aca="false">C43&gt;=0.9*365</f>
        <v>1</v>
      </c>
      <c r="E43" s="5" t="n">
        <f aca="false">IF(D43,A43,"")</f>
        <v>1956</v>
      </c>
      <c r="F43" s="9" t="n">
        <f aca="false">IF(D43,B43,"")</f>
        <v>36.97</v>
      </c>
    </row>
    <row r="44" customFormat="false" ht="15" hidden="false" customHeight="true" outlineLevel="0" collapsed="false">
      <c r="A44" s="5" t="n">
        <v>1957</v>
      </c>
      <c r="B44" s="6" t="n">
        <v>29.89</v>
      </c>
      <c r="C44" s="7" t="n">
        <v>365</v>
      </c>
      <c r="D44" s="8" t="b">
        <f aca="false">C44&gt;=0.9*365</f>
        <v>1</v>
      </c>
      <c r="E44" s="5" t="n">
        <f aca="false">IF(D44,A44,"")</f>
        <v>1957</v>
      </c>
      <c r="F44" s="9" t="n">
        <f aca="false">IF(D44,B44,"")</f>
        <v>29.89</v>
      </c>
    </row>
    <row r="45" customFormat="false" ht="15" hidden="false" customHeight="true" outlineLevel="0" collapsed="false">
      <c r="A45" s="5" t="n">
        <v>1958</v>
      </c>
      <c r="B45" s="6" t="n">
        <v>39.5</v>
      </c>
      <c r="C45" s="7" t="n">
        <v>365</v>
      </c>
      <c r="D45" s="8" t="b">
        <f aca="false">C45&gt;=0.9*365</f>
        <v>1</v>
      </c>
      <c r="E45" s="5" t="n">
        <f aca="false">IF(D45,A45,"")</f>
        <v>1958</v>
      </c>
      <c r="F45" s="9" t="n">
        <f aca="false">IF(D45,B45,"")</f>
        <v>39.5</v>
      </c>
    </row>
    <row r="46" customFormat="false" ht="15" hidden="false" customHeight="true" outlineLevel="0" collapsed="false">
      <c r="A46" s="5" t="n">
        <v>1959</v>
      </c>
      <c r="B46" s="6" t="n">
        <v>37.24</v>
      </c>
      <c r="C46" s="7" t="n">
        <v>365</v>
      </c>
      <c r="D46" s="8" t="b">
        <f aca="false">C46&gt;=0.9*365</f>
        <v>1</v>
      </c>
      <c r="E46" s="5" t="n">
        <f aca="false">IF(D46,A46,"")</f>
        <v>1959</v>
      </c>
      <c r="F46" s="9" t="n">
        <f aca="false">IF(D46,B46,"")</f>
        <v>37.24</v>
      </c>
    </row>
    <row r="47" customFormat="false" ht="15" hidden="false" customHeight="true" outlineLevel="0" collapsed="false">
      <c r="A47" s="5" t="n">
        <v>1960</v>
      </c>
      <c r="B47" s="6" t="n">
        <v>38.81</v>
      </c>
      <c r="C47" s="7" t="n">
        <v>366</v>
      </c>
      <c r="D47" s="8" t="b">
        <f aca="false">C47&gt;=0.9*365</f>
        <v>1</v>
      </c>
      <c r="E47" s="5" t="n">
        <f aca="false">IF(D47,A47,"")</f>
        <v>1960</v>
      </c>
      <c r="F47" s="9" t="n">
        <f aca="false">IF(D47,B47,"")</f>
        <v>38.81</v>
      </c>
    </row>
    <row r="48" customFormat="false" ht="15" hidden="false" customHeight="true" outlineLevel="0" collapsed="false">
      <c r="A48" s="5" t="n">
        <v>1961</v>
      </c>
      <c r="B48" s="6" t="n">
        <v>29.29</v>
      </c>
      <c r="C48" s="7" t="n">
        <v>365</v>
      </c>
      <c r="D48" s="8" t="b">
        <f aca="false">C48&gt;=0.9*365</f>
        <v>1</v>
      </c>
      <c r="E48" s="5" t="n">
        <f aca="false">IF(D48,A48,"")</f>
        <v>1961</v>
      </c>
      <c r="F48" s="9" t="n">
        <f aca="false">IF(D48,B48,"")</f>
        <v>29.29</v>
      </c>
    </row>
    <row r="49" customFormat="false" ht="15" hidden="false" customHeight="true" outlineLevel="0" collapsed="false">
      <c r="A49" s="5" t="n">
        <v>1962</v>
      </c>
      <c r="B49" s="6" t="n">
        <v>21.26</v>
      </c>
      <c r="C49" s="7" t="n">
        <v>365</v>
      </c>
      <c r="D49" s="8" t="b">
        <f aca="false">C49&gt;=0.9*365</f>
        <v>1</v>
      </c>
      <c r="E49" s="5" t="n">
        <f aca="false">IF(D49,A49,"")</f>
        <v>1962</v>
      </c>
      <c r="F49" s="9" t="n">
        <f aca="false">IF(D49,B49,"")</f>
        <v>21.26</v>
      </c>
    </row>
    <row r="50" customFormat="false" ht="15" hidden="false" customHeight="true" outlineLevel="0" collapsed="false">
      <c r="A50" s="5" t="n">
        <v>1963</v>
      </c>
      <c r="B50" s="6" t="n">
        <v>25.01</v>
      </c>
      <c r="C50" s="7" t="n">
        <v>365</v>
      </c>
      <c r="D50" s="8" t="b">
        <f aca="false">C50&gt;=0.9*365</f>
        <v>1</v>
      </c>
      <c r="E50" s="5" t="n">
        <f aca="false">IF(D50,A50,"")</f>
        <v>1963</v>
      </c>
      <c r="F50" s="9" t="n">
        <f aca="false">IF(D50,B50,"")</f>
        <v>25.01</v>
      </c>
    </row>
    <row r="51" customFormat="false" ht="15" hidden="false" customHeight="true" outlineLevel="0" collapsed="false">
      <c r="A51" s="5" t="n">
        <v>1964</v>
      </c>
      <c r="B51" s="6" t="n">
        <v>30.17</v>
      </c>
      <c r="C51" s="7" t="n">
        <v>366</v>
      </c>
      <c r="D51" s="8" t="b">
        <f aca="false">C51&gt;=0.9*365</f>
        <v>1</v>
      </c>
      <c r="E51" s="5" t="n">
        <f aca="false">IF(D51,A51,"")</f>
        <v>1964</v>
      </c>
      <c r="F51" s="9" t="n">
        <f aca="false">IF(D51,B51,"")</f>
        <v>30.17</v>
      </c>
    </row>
    <row r="52" customFormat="false" ht="15" hidden="false" customHeight="true" outlineLevel="0" collapsed="false">
      <c r="A52" s="5" t="n">
        <v>1965</v>
      </c>
      <c r="B52" s="6" t="n">
        <v>34.87</v>
      </c>
      <c r="C52" s="7" t="n">
        <v>365</v>
      </c>
      <c r="D52" s="8" t="b">
        <f aca="false">C52&gt;=0.9*365</f>
        <v>1</v>
      </c>
      <c r="E52" s="5" t="n">
        <f aca="false">IF(D52,A52,"")</f>
        <v>1965</v>
      </c>
      <c r="F52" s="9" t="n">
        <f aca="false">IF(D52,B52,"")</f>
        <v>34.87</v>
      </c>
    </row>
    <row r="53" customFormat="false" ht="15" hidden="false" customHeight="true" outlineLevel="0" collapsed="false">
      <c r="A53" s="5" t="n">
        <v>1966</v>
      </c>
      <c r="B53" s="6" t="n">
        <v>26.13</v>
      </c>
      <c r="C53" s="7" t="n">
        <v>365</v>
      </c>
      <c r="D53" s="8" t="b">
        <f aca="false">C53&gt;=0.9*365</f>
        <v>1</v>
      </c>
      <c r="E53" s="5" t="n">
        <f aca="false">IF(D53,A53,"")</f>
        <v>1966</v>
      </c>
      <c r="F53" s="9" t="n">
        <f aca="false">IF(D53,B53,"")</f>
        <v>26.13</v>
      </c>
    </row>
    <row r="54" customFormat="false" ht="15" hidden="false" customHeight="true" outlineLevel="0" collapsed="false">
      <c r="A54" s="5" t="n">
        <v>1967</v>
      </c>
      <c r="B54" s="6" t="n">
        <v>33.16</v>
      </c>
      <c r="C54" s="7" t="n">
        <v>365</v>
      </c>
      <c r="D54" s="8" t="b">
        <f aca="false">C54&gt;=0.9*365</f>
        <v>1</v>
      </c>
      <c r="E54" s="5" t="n">
        <f aca="false">IF(D54,A54,"")</f>
        <v>1967</v>
      </c>
      <c r="F54" s="9" t="n">
        <f aca="false">IF(D54,B54,"")</f>
        <v>33.16</v>
      </c>
    </row>
    <row r="55" customFormat="false" ht="15" hidden="false" customHeight="true" outlineLevel="0" collapsed="false">
      <c r="A55" s="5" t="n">
        <v>1968</v>
      </c>
      <c r="B55" s="6" t="n">
        <v>34.85</v>
      </c>
      <c r="C55" s="7" t="n">
        <v>366</v>
      </c>
      <c r="D55" s="8" t="b">
        <f aca="false">C55&gt;=0.9*365</f>
        <v>1</v>
      </c>
      <c r="E55" s="5" t="n">
        <f aca="false">IF(D55,A55,"")</f>
        <v>1968</v>
      </c>
      <c r="F55" s="9" t="n">
        <f aca="false">IF(D55,B55,"")</f>
        <v>34.85</v>
      </c>
    </row>
    <row r="56" customFormat="false" ht="15" hidden="false" customHeight="true" outlineLevel="0" collapsed="false">
      <c r="A56" s="5" t="n">
        <v>1969</v>
      </c>
      <c r="B56" s="6" t="n">
        <v>66.23</v>
      </c>
      <c r="C56" s="7" t="n">
        <v>365</v>
      </c>
      <c r="D56" s="8" t="b">
        <f aca="false">C56&gt;=0.9*365</f>
        <v>1</v>
      </c>
      <c r="E56" s="5" t="n">
        <f aca="false">IF(D56,A56,"")</f>
        <v>1969</v>
      </c>
      <c r="F56" s="9" t="n">
        <f aca="false">IF(D56,B56,"")</f>
        <v>66.23</v>
      </c>
    </row>
    <row r="57" customFormat="false" ht="15" hidden="false" customHeight="true" outlineLevel="0" collapsed="false">
      <c r="A57" s="5" t="n">
        <v>1970</v>
      </c>
      <c r="B57" s="6" t="n">
        <v>31.52</v>
      </c>
      <c r="C57" s="7" t="n">
        <v>365</v>
      </c>
      <c r="D57" s="8" t="b">
        <f aca="false">C57&gt;=0.9*365</f>
        <v>1</v>
      </c>
      <c r="E57" s="5" t="n">
        <f aca="false">IF(D57,A57,"")</f>
        <v>1970</v>
      </c>
      <c r="F57" s="9" t="n">
        <f aca="false">IF(D57,B57,"")</f>
        <v>31.52</v>
      </c>
    </row>
    <row r="58" customFormat="false" ht="15" hidden="false" customHeight="true" outlineLevel="0" collapsed="false">
      <c r="A58" s="5" t="n">
        <v>1971</v>
      </c>
      <c r="B58" s="6" t="n">
        <v>40.9</v>
      </c>
      <c r="C58" s="7" t="n">
        <v>365</v>
      </c>
      <c r="D58" s="8" t="b">
        <f aca="false">C58&gt;=0.9*365</f>
        <v>1</v>
      </c>
      <c r="E58" s="5" t="n">
        <f aca="false">IF(D58,A58,"")</f>
        <v>1971</v>
      </c>
      <c r="F58" s="9" t="n">
        <f aca="false">IF(D58,B58,"")</f>
        <v>40.9</v>
      </c>
    </row>
    <row r="59" customFormat="false" ht="15" hidden="false" customHeight="true" outlineLevel="0" collapsed="false">
      <c r="A59" s="5" t="n">
        <v>1972</v>
      </c>
      <c r="B59" s="6" t="n">
        <v>18.89</v>
      </c>
      <c r="C59" s="7" t="n">
        <v>366</v>
      </c>
      <c r="D59" s="8" t="b">
        <f aca="false">C59&gt;=0.9*365</f>
        <v>1</v>
      </c>
      <c r="E59" s="5" t="n">
        <f aca="false">IF(D59,A59,"")</f>
        <v>1972</v>
      </c>
      <c r="F59" s="9" t="n">
        <f aca="false">IF(D59,B59,"")</f>
        <v>18.89</v>
      </c>
    </row>
    <row r="60" customFormat="false" ht="15" hidden="false" customHeight="true" outlineLevel="0" collapsed="false">
      <c r="A60" s="5" t="n">
        <v>1973</v>
      </c>
      <c r="B60" s="6" t="n">
        <v>24.97</v>
      </c>
      <c r="C60" s="7" t="n">
        <v>365</v>
      </c>
      <c r="D60" s="8" t="b">
        <f aca="false">C60&gt;=0.9*365</f>
        <v>1</v>
      </c>
      <c r="E60" s="5" t="n">
        <f aca="false">IF(D60,A60,"")</f>
        <v>1973</v>
      </c>
      <c r="F60" s="9" t="n">
        <f aca="false">IF(D60,B60,"")</f>
        <v>24.97</v>
      </c>
    </row>
    <row r="61" customFormat="false" ht="15" hidden="false" customHeight="true" outlineLevel="0" collapsed="false">
      <c r="A61" s="5" t="n">
        <v>1974</v>
      </c>
      <c r="B61" s="6" t="n">
        <v>27.83</v>
      </c>
      <c r="C61" s="7" t="n">
        <v>365</v>
      </c>
      <c r="D61" s="8" t="b">
        <f aca="false">C61&gt;=0.9*365</f>
        <v>1</v>
      </c>
      <c r="E61" s="5" t="n">
        <f aca="false">IF(D61,A61,"")</f>
        <v>1974</v>
      </c>
      <c r="F61" s="9" t="n">
        <f aca="false">IF(D61,B61,"")</f>
        <v>27.83</v>
      </c>
    </row>
    <row r="62" customFormat="false" ht="15" hidden="false" customHeight="true" outlineLevel="0" collapsed="false">
      <c r="A62" s="5" t="n">
        <v>1975</v>
      </c>
      <c r="B62" s="6" t="n">
        <v>22.24</v>
      </c>
      <c r="C62" s="7" t="n">
        <v>365</v>
      </c>
      <c r="D62" s="8" t="b">
        <f aca="false">C62&gt;=0.9*365</f>
        <v>1</v>
      </c>
      <c r="E62" s="5" t="n">
        <f aca="false">IF(D62,A62,"")</f>
        <v>1975</v>
      </c>
      <c r="F62" s="9" t="n">
        <f aca="false">IF(D62,B62,"")</f>
        <v>22.24</v>
      </c>
    </row>
    <row r="63" customFormat="false" ht="15" hidden="false" customHeight="true" outlineLevel="0" collapsed="false">
      <c r="A63" s="5" t="n">
        <v>1976</v>
      </c>
      <c r="B63" s="6" t="n">
        <v>22.49</v>
      </c>
      <c r="C63" s="7" t="n">
        <v>366</v>
      </c>
      <c r="D63" s="8" t="b">
        <f aca="false">C63&gt;=0.9*365</f>
        <v>1</v>
      </c>
      <c r="E63" s="5" t="n">
        <f aca="false">IF(D63,A63,"")</f>
        <v>1976</v>
      </c>
      <c r="F63" s="9" t="n">
        <f aca="false">IF(D63,B63,"")</f>
        <v>22.49</v>
      </c>
    </row>
    <row r="64" customFormat="false" ht="15" hidden="false" customHeight="true" outlineLevel="0" collapsed="false">
      <c r="A64" s="5" t="n">
        <v>1977</v>
      </c>
      <c r="B64" s="6" t="n">
        <v>25.7</v>
      </c>
      <c r="C64" s="7" t="n">
        <v>365</v>
      </c>
      <c r="D64" s="8" t="b">
        <f aca="false">C64&gt;=0.9*365</f>
        <v>1</v>
      </c>
      <c r="E64" s="5" t="n">
        <f aca="false">IF(D64,A64,"")</f>
        <v>1977</v>
      </c>
      <c r="F64" s="9" t="n">
        <f aca="false">IF(D64,B64,"")</f>
        <v>25.7</v>
      </c>
    </row>
    <row r="65" customFormat="false" ht="15" hidden="false" customHeight="true" outlineLevel="0" collapsed="false">
      <c r="A65" s="5" t="n">
        <v>1978</v>
      </c>
      <c r="B65" s="6" t="n">
        <v>20.85</v>
      </c>
      <c r="C65" s="7" t="n">
        <v>365</v>
      </c>
      <c r="D65" s="8" t="b">
        <f aca="false">C65&gt;=0.9*365</f>
        <v>1</v>
      </c>
      <c r="E65" s="5" t="n">
        <f aca="false">IF(D65,A65,"")</f>
        <v>1978</v>
      </c>
      <c r="F65" s="9" t="n">
        <f aca="false">IF(D65,B65,"")</f>
        <v>20.85</v>
      </c>
    </row>
    <row r="66" customFormat="false" ht="15" hidden="false" customHeight="true" outlineLevel="0" collapsed="false">
      <c r="A66" s="5" t="n">
        <v>1979</v>
      </c>
      <c r="B66" s="6" t="n">
        <v>43.62</v>
      </c>
      <c r="C66" s="7" t="n">
        <v>365</v>
      </c>
      <c r="D66" s="8" t="b">
        <f aca="false">C66&gt;=0.9*365</f>
        <v>1</v>
      </c>
      <c r="E66" s="5" t="n">
        <f aca="false">IF(D66,A66,"")</f>
        <v>1979</v>
      </c>
      <c r="F66" s="9" t="n">
        <f aca="false">IF(D66,B66,"")</f>
        <v>43.62</v>
      </c>
    </row>
    <row r="67" customFormat="false" ht="15" hidden="false" customHeight="true" outlineLevel="0" collapsed="false">
      <c r="A67" s="5" t="n">
        <v>1980</v>
      </c>
      <c r="B67" s="6" t="n">
        <v>67.26</v>
      </c>
      <c r="C67" s="7" t="n">
        <v>366</v>
      </c>
      <c r="D67" s="8" t="b">
        <f aca="false">C67&gt;=0.9*365</f>
        <v>1</v>
      </c>
      <c r="E67" s="5" t="n">
        <f aca="false">IF(D67,A67,"")</f>
        <v>1980</v>
      </c>
      <c r="F67" s="9" t="n">
        <f aca="false">IF(D67,B67,"")</f>
        <v>67.26</v>
      </c>
    </row>
    <row r="68" customFormat="false" ht="15" hidden="false" customHeight="true" outlineLevel="0" collapsed="false">
      <c r="A68" s="5" t="n">
        <v>1981</v>
      </c>
      <c r="B68" s="6" t="n">
        <v>14.51</v>
      </c>
      <c r="C68" s="7" t="n">
        <v>365</v>
      </c>
      <c r="D68" s="8" t="b">
        <f aca="false">C68&gt;=0.9*365</f>
        <v>1</v>
      </c>
      <c r="E68" s="5" t="n">
        <f aca="false">IF(D68,A68,"")</f>
        <v>1981</v>
      </c>
      <c r="F68" s="9" t="n">
        <f aca="false">IF(D68,B68,"")</f>
        <v>14.51</v>
      </c>
    </row>
    <row r="69" customFormat="false" ht="15" hidden="false" customHeight="true" outlineLevel="0" collapsed="false">
      <c r="A69" s="5" t="n">
        <v>1982</v>
      </c>
      <c r="B69" s="6" t="n">
        <v>59.78</v>
      </c>
      <c r="C69" s="7" t="n">
        <v>365</v>
      </c>
      <c r="D69" s="8" t="b">
        <f aca="false">C69&gt;=0.9*365</f>
        <v>1</v>
      </c>
      <c r="E69" s="5" t="n">
        <f aca="false">IF(D69,A69,"")</f>
        <v>1982</v>
      </c>
      <c r="F69" s="9" t="n">
        <f aca="false">IF(D69,B69,"")</f>
        <v>59.78</v>
      </c>
    </row>
    <row r="70" customFormat="false" ht="15" hidden="false" customHeight="true" outlineLevel="0" collapsed="false">
      <c r="A70" s="5" t="n">
        <v>1983</v>
      </c>
      <c r="B70" s="6" t="n">
        <v>21.71</v>
      </c>
      <c r="C70" s="7" t="n">
        <v>365</v>
      </c>
      <c r="D70" s="8" t="b">
        <f aca="false">C70&gt;=0.9*365</f>
        <v>1</v>
      </c>
      <c r="E70" s="5" t="n">
        <f aca="false">IF(D70,A70,"")</f>
        <v>1983</v>
      </c>
      <c r="F70" s="9" t="n">
        <f aca="false">IF(D70,B70,"")</f>
        <v>21.71</v>
      </c>
    </row>
    <row r="71" customFormat="false" ht="15" hidden="false" customHeight="true" outlineLevel="0" collapsed="false">
      <c r="A71" s="5" t="n">
        <v>1984</v>
      </c>
      <c r="B71" s="6" t="n">
        <v>18.37</v>
      </c>
      <c r="C71" s="7" t="n">
        <v>366</v>
      </c>
      <c r="D71" s="8" t="b">
        <f aca="false">C71&gt;=0.9*365</f>
        <v>1</v>
      </c>
      <c r="E71" s="5" t="n">
        <f aca="false">IF(D71,A71,"")</f>
        <v>1984</v>
      </c>
      <c r="F71" s="9" t="n">
        <f aca="false">IF(D71,B71,"")</f>
        <v>18.37</v>
      </c>
    </row>
    <row r="72" customFormat="false" ht="15" hidden="false" customHeight="true" outlineLevel="0" collapsed="false">
      <c r="A72" s="5" t="n">
        <v>1985</v>
      </c>
      <c r="B72" s="6" t="n">
        <v>32.92</v>
      </c>
      <c r="C72" s="7" t="n">
        <v>365</v>
      </c>
      <c r="D72" s="8" t="b">
        <f aca="false">C72&gt;=0.9*365</f>
        <v>1</v>
      </c>
      <c r="E72" s="5" t="n">
        <f aca="false">IF(D72,A72,"")</f>
        <v>1985</v>
      </c>
      <c r="F72" s="9" t="n">
        <f aca="false">IF(D72,B72,"")</f>
        <v>32.92</v>
      </c>
    </row>
    <row r="73" customFormat="false" ht="15" hidden="false" customHeight="true" outlineLevel="0" collapsed="false">
      <c r="A73" s="5" t="n">
        <v>1986</v>
      </c>
      <c r="B73" s="6" t="n">
        <v>44</v>
      </c>
      <c r="C73" s="7" t="n">
        <v>365</v>
      </c>
      <c r="D73" s="8" t="b">
        <f aca="false">C73&gt;=0.9*365</f>
        <v>1</v>
      </c>
      <c r="E73" s="5" t="n">
        <f aca="false">IF(D73,A73,"")</f>
        <v>1986</v>
      </c>
      <c r="F73" s="9" t="n">
        <f aca="false">IF(D73,B73,"")</f>
        <v>44</v>
      </c>
    </row>
    <row r="74" customFormat="false" ht="15" hidden="false" customHeight="true" outlineLevel="0" collapsed="false">
      <c r="A74" s="5" t="n">
        <v>1987</v>
      </c>
      <c r="B74" s="6" t="n">
        <v>40.97</v>
      </c>
      <c r="C74" s="7" t="n">
        <v>365</v>
      </c>
      <c r="D74" s="8" t="b">
        <f aca="false">C74&gt;=0.9*365</f>
        <v>1</v>
      </c>
      <c r="E74" s="5" t="n">
        <f aca="false">IF(D74,A74,"")</f>
        <v>1987</v>
      </c>
      <c r="F74" s="9" t="n">
        <f aca="false">IF(D74,B74,"")</f>
        <v>40.97</v>
      </c>
    </row>
    <row r="75" customFormat="false" ht="15" hidden="false" customHeight="true" outlineLevel="0" collapsed="false">
      <c r="A75" s="5" t="n">
        <v>1988</v>
      </c>
      <c r="B75" s="6" t="n">
        <v>33.56</v>
      </c>
      <c r="C75" s="7" t="n">
        <v>366</v>
      </c>
      <c r="D75" s="8" t="b">
        <f aca="false">C75&gt;=0.9*365</f>
        <v>1</v>
      </c>
      <c r="E75" s="5" t="n">
        <f aca="false">IF(D75,A75,"")</f>
        <v>1988</v>
      </c>
      <c r="F75" s="9" t="n">
        <f aca="false">IF(D75,B75,"")</f>
        <v>33.56</v>
      </c>
    </row>
    <row r="76" customFormat="false" ht="15" hidden="false" customHeight="true" outlineLevel="0" collapsed="false">
      <c r="A76" s="5" t="n">
        <v>1989</v>
      </c>
      <c r="B76" s="6" t="n">
        <v>55.66</v>
      </c>
      <c r="C76" s="7" t="n">
        <v>365</v>
      </c>
      <c r="D76" s="8" t="b">
        <f aca="false">C76&gt;=0.9*365</f>
        <v>1</v>
      </c>
      <c r="E76" s="5" t="n">
        <f aca="false">IF(D76,A76,"")</f>
        <v>1989</v>
      </c>
      <c r="F76" s="9" t="n">
        <f aca="false">IF(D76,B76,"")</f>
        <v>55.66</v>
      </c>
    </row>
    <row r="77" customFormat="false" ht="15" hidden="false" customHeight="true" outlineLevel="0" collapsed="false">
      <c r="A77" s="5" t="n">
        <v>1990</v>
      </c>
      <c r="B77" s="6" t="n">
        <v>33.81</v>
      </c>
      <c r="C77" s="7" t="n">
        <v>365</v>
      </c>
      <c r="D77" s="8" t="b">
        <f aca="false">C77&gt;=0.9*365</f>
        <v>1</v>
      </c>
      <c r="E77" s="5" t="n">
        <f aca="false">IF(D77,A77,"")</f>
        <v>1990</v>
      </c>
      <c r="F77" s="9" t="n">
        <f aca="false">IF(D77,B77,"")</f>
        <v>33.81</v>
      </c>
    </row>
    <row r="78" customFormat="false" ht="15" hidden="false" customHeight="true" outlineLevel="0" collapsed="false">
      <c r="A78" s="5" t="n">
        <v>1991</v>
      </c>
      <c r="B78" s="6" t="n">
        <v>49.98</v>
      </c>
      <c r="C78" s="7" t="n">
        <v>365</v>
      </c>
      <c r="D78" s="8" t="b">
        <f aca="false">C78&gt;=0.9*365</f>
        <v>1</v>
      </c>
      <c r="E78" s="5" t="n">
        <f aca="false">IF(D78,A78,"")</f>
        <v>1991</v>
      </c>
      <c r="F78" s="9" t="n">
        <f aca="false">IF(D78,B78,"")</f>
        <v>49.98</v>
      </c>
    </row>
    <row r="79" customFormat="false" ht="15" hidden="false" customHeight="true" outlineLevel="0" collapsed="false">
      <c r="A79" s="5" t="n">
        <v>1992</v>
      </c>
      <c r="B79" s="6" t="n">
        <v>23.92</v>
      </c>
      <c r="C79" s="7" t="n">
        <v>366</v>
      </c>
      <c r="D79" s="8" t="b">
        <f aca="false">C79&gt;=0.9*365</f>
        <v>1</v>
      </c>
      <c r="E79" s="5" t="n">
        <f aca="false">IF(D79,A79,"")</f>
        <v>1992</v>
      </c>
      <c r="F79" s="9" t="n">
        <f aca="false">IF(D79,B79,"")</f>
        <v>23.92</v>
      </c>
    </row>
    <row r="80" customFormat="false" ht="15" hidden="false" customHeight="true" outlineLevel="0" collapsed="false">
      <c r="A80" s="5" t="n">
        <v>1993</v>
      </c>
      <c r="B80" s="6" t="n">
        <v>28.74</v>
      </c>
      <c r="C80" s="7" t="n">
        <v>365</v>
      </c>
      <c r="D80" s="8" t="b">
        <f aca="false">C80&gt;=0.9*365</f>
        <v>1</v>
      </c>
      <c r="E80" s="5" t="n">
        <f aca="false">IF(D80,A80,"")</f>
        <v>1993</v>
      </c>
      <c r="F80" s="9" t="n">
        <f aca="false">IF(D80,B80,"")</f>
        <v>28.74</v>
      </c>
    </row>
    <row r="81" customFormat="false" ht="15" hidden="false" customHeight="true" outlineLevel="0" collapsed="false">
      <c r="A81" s="5" t="n">
        <v>1994</v>
      </c>
      <c r="B81" s="6" t="n">
        <v>49.16</v>
      </c>
      <c r="C81" s="7" t="n">
        <v>365</v>
      </c>
      <c r="D81" s="8" t="b">
        <f aca="false">C81&gt;=0.9*365</f>
        <v>1</v>
      </c>
      <c r="E81" s="5" t="n">
        <f aca="false">IF(D81,A81,"")</f>
        <v>1994</v>
      </c>
      <c r="F81" s="9" t="n">
        <f aca="false">IF(D81,B81,"")</f>
        <v>49.16</v>
      </c>
    </row>
    <row r="82" customFormat="false" ht="15" hidden="false" customHeight="true" outlineLevel="0" collapsed="false">
      <c r="A82" s="5" t="n">
        <v>1995</v>
      </c>
      <c r="B82" s="6" t="n">
        <v>19.5</v>
      </c>
      <c r="C82" s="7" t="n">
        <v>365</v>
      </c>
      <c r="D82" s="8" t="b">
        <f aca="false">C82&gt;=0.9*365</f>
        <v>1</v>
      </c>
      <c r="E82" s="5" t="n">
        <f aca="false">IF(D82,A82,"")</f>
        <v>1995</v>
      </c>
      <c r="F82" s="9" t="n">
        <f aca="false">IF(D82,B82,"")</f>
        <v>19.5</v>
      </c>
    </row>
    <row r="83" customFormat="false" ht="15" hidden="false" customHeight="true" outlineLevel="0" collapsed="false">
      <c r="A83" s="5" t="n">
        <v>1996</v>
      </c>
      <c r="B83" s="6" t="n">
        <v>22.74</v>
      </c>
      <c r="C83" s="7" t="n">
        <v>366</v>
      </c>
      <c r="D83" s="8" t="b">
        <f aca="false">C83&gt;=0.9*365</f>
        <v>1</v>
      </c>
      <c r="E83" s="5" t="n">
        <f aca="false">IF(D83,A83,"")</f>
        <v>1996</v>
      </c>
      <c r="F83" s="9" t="n">
        <f aca="false">IF(D83,B83,"")</f>
        <v>22.74</v>
      </c>
    </row>
    <row r="84" customFormat="false" ht="15" hidden="false" customHeight="true" outlineLevel="0" collapsed="false">
      <c r="A84" s="5" t="n">
        <v>1997</v>
      </c>
      <c r="B84" s="6" t="n">
        <v>29.9</v>
      </c>
      <c r="C84" s="7" t="n">
        <v>365</v>
      </c>
      <c r="D84" s="8" t="b">
        <f aca="false">C84&gt;=0.9*365</f>
        <v>1</v>
      </c>
      <c r="E84" s="5" t="n">
        <f aca="false">IF(D84,A84,"")</f>
        <v>1997</v>
      </c>
      <c r="F84" s="9" t="n">
        <f aca="false">IF(D84,B84,"")</f>
        <v>29.9</v>
      </c>
    </row>
    <row r="85" customFormat="false" ht="15" hidden="false" customHeight="true" outlineLevel="0" collapsed="false">
      <c r="A85" s="5" t="n">
        <v>1998</v>
      </c>
      <c r="B85" s="6" t="n">
        <v>28.38</v>
      </c>
      <c r="C85" s="7" t="n">
        <v>365</v>
      </c>
      <c r="D85" s="8" t="b">
        <f aca="false">C85&gt;=0.9*365</f>
        <v>1</v>
      </c>
      <c r="E85" s="5" t="n">
        <f aca="false">IF(D85,A85,"")</f>
        <v>1998</v>
      </c>
      <c r="F85" s="9" t="n">
        <f aca="false">IF(D85,B85,"")</f>
        <v>28.38</v>
      </c>
    </row>
    <row r="86" customFormat="false" ht="15" hidden="false" customHeight="true" outlineLevel="0" collapsed="false">
      <c r="A86" s="5" t="n">
        <v>1999</v>
      </c>
      <c r="B86" s="6" t="n">
        <v>32.43</v>
      </c>
      <c r="C86" s="7" t="n">
        <v>365</v>
      </c>
      <c r="D86" s="8" t="b">
        <f aca="false">C86&gt;=0.9*365</f>
        <v>1</v>
      </c>
      <c r="E86" s="5" t="n">
        <f aca="false">IF(D86,A86,"")</f>
        <v>1999</v>
      </c>
      <c r="F86" s="9" t="n">
        <f aca="false">IF(D86,B86,"")</f>
        <v>32.43</v>
      </c>
    </row>
    <row r="87" customFormat="false" ht="15" hidden="false" customHeight="true" outlineLevel="0" collapsed="false">
      <c r="A87" s="5" t="n">
        <v>2000</v>
      </c>
      <c r="B87" s="6" t="n">
        <v>23.92</v>
      </c>
      <c r="C87" s="7" t="n">
        <v>366</v>
      </c>
      <c r="D87" s="8" t="b">
        <f aca="false">C87&gt;=0.9*365</f>
        <v>1</v>
      </c>
      <c r="E87" s="5" t="n">
        <f aca="false">IF(D87,A87,"")</f>
        <v>2000</v>
      </c>
      <c r="F87" s="9" t="n">
        <f aca="false">IF(D87,B87,"")</f>
        <v>23.92</v>
      </c>
    </row>
    <row r="88" customFormat="false" ht="15" hidden="false" customHeight="true" outlineLevel="0" collapsed="false">
      <c r="A88" s="5" t="n">
        <v>2001</v>
      </c>
      <c r="B88" s="6" t="n">
        <v>19.07</v>
      </c>
      <c r="C88" s="7" t="n">
        <v>365</v>
      </c>
      <c r="D88" s="8" t="b">
        <f aca="false">C88&gt;=0.9*365</f>
        <v>1</v>
      </c>
      <c r="E88" s="5" t="n">
        <f aca="false">IF(D88,A88,"")</f>
        <v>2001</v>
      </c>
      <c r="F88" s="9" t="n">
        <f aca="false">IF(D88,B88,"")</f>
        <v>19.07</v>
      </c>
    </row>
    <row r="89" customFormat="false" ht="15" hidden="false" customHeight="true" outlineLevel="0" collapsed="false">
      <c r="A89" s="5" t="n">
        <v>2002</v>
      </c>
      <c r="B89" s="6" t="n">
        <v>36.48</v>
      </c>
      <c r="C89" s="7" t="n">
        <v>365</v>
      </c>
      <c r="D89" s="8" t="b">
        <f aca="false">C89&gt;=0.9*365</f>
        <v>1</v>
      </c>
      <c r="E89" s="5" t="n">
        <f aca="false">IF(D89,A89,"")</f>
        <v>2002</v>
      </c>
      <c r="F89" s="9" t="n">
        <f aca="false">IF(D89,B89,"")</f>
        <v>36.48</v>
      </c>
    </row>
    <row r="90" customFormat="false" ht="15" hidden="false" customHeight="true" outlineLevel="0" collapsed="false">
      <c r="A90" s="5" t="n">
        <v>2003</v>
      </c>
      <c r="B90" s="6" t="n">
        <v>16.05</v>
      </c>
      <c r="C90" s="7" t="n">
        <v>365</v>
      </c>
      <c r="D90" s="8" t="b">
        <f aca="false">C90&gt;=0.9*365</f>
        <v>1</v>
      </c>
      <c r="E90" s="5" t="n">
        <f aca="false">IF(D90,A90,"")</f>
        <v>2003</v>
      </c>
      <c r="F90" s="9" t="n">
        <f aca="false">IF(D90,B90,"")</f>
        <v>16.05</v>
      </c>
    </row>
    <row r="91" customFormat="false" ht="15" hidden="false" customHeight="true" outlineLevel="0" collapsed="false">
      <c r="A91" s="5" t="n">
        <v>2004</v>
      </c>
      <c r="B91" s="6" t="n">
        <v>34.7</v>
      </c>
      <c r="C91" s="7" t="n">
        <v>366</v>
      </c>
      <c r="D91" s="8" t="b">
        <f aca="false">C91&gt;=0.9*365</f>
        <v>1</v>
      </c>
      <c r="E91" s="5" t="n">
        <f aca="false">IF(D91,A91,"")</f>
        <v>2004</v>
      </c>
      <c r="F91" s="9" t="n">
        <f aca="false">IF(D91,B91,"")</f>
        <v>34.7</v>
      </c>
    </row>
    <row r="92" customFormat="false" ht="15" hidden="false" customHeight="true" outlineLevel="0" collapsed="false">
      <c r="A92" s="5" t="n">
        <v>2005</v>
      </c>
      <c r="B92" s="6" t="n">
        <v>29.76</v>
      </c>
      <c r="C92" s="7" t="n">
        <v>365</v>
      </c>
      <c r="D92" s="8" t="b">
        <f aca="false">C92&gt;=0.9*365</f>
        <v>1</v>
      </c>
      <c r="E92" s="5" t="n">
        <f aca="false">IF(D92,A92,"")</f>
        <v>2005</v>
      </c>
      <c r="F92" s="9" t="n">
        <f aca="false">IF(D92,B92,"")</f>
        <v>29.76</v>
      </c>
    </row>
    <row r="93" customFormat="false" ht="15" hidden="false" customHeight="true" outlineLevel="0" collapsed="false">
      <c r="A93" s="5" t="n">
        <v>2006</v>
      </c>
      <c r="B93" s="6" t="n">
        <v>22.85</v>
      </c>
      <c r="C93" s="7" t="n">
        <v>365</v>
      </c>
      <c r="D93" s="8" t="b">
        <f aca="false">C93&gt;=0.9*365</f>
        <v>1</v>
      </c>
      <c r="E93" s="5" t="n">
        <f aca="false">IF(D93,A93,"")</f>
        <v>2006</v>
      </c>
      <c r="F93" s="9" t="n">
        <f aca="false">IF(D93,B93,"")</f>
        <v>22.85</v>
      </c>
    </row>
    <row r="94" customFormat="false" ht="15" hidden="false" customHeight="true" outlineLevel="0" collapsed="false">
      <c r="A94" s="5" t="n">
        <v>2007</v>
      </c>
      <c r="B94" s="6" t="n">
        <v>14.38</v>
      </c>
      <c r="C94" s="7" t="n">
        <v>365</v>
      </c>
      <c r="D94" s="8" t="b">
        <f aca="false">C94&gt;=0.9*365</f>
        <v>1</v>
      </c>
      <c r="E94" s="5" t="n">
        <f aca="false">IF(D94,A94,"")</f>
        <v>2007</v>
      </c>
      <c r="F94" s="9" t="n">
        <f aca="false">IF(D94,B94,"")</f>
        <v>14.38</v>
      </c>
    </row>
    <row r="95" customFormat="false" ht="15" hidden="false" customHeight="true" outlineLevel="0" collapsed="false">
      <c r="A95" s="5" t="n">
        <v>2008</v>
      </c>
      <c r="B95" s="6" t="n">
        <v>23</v>
      </c>
      <c r="C95" s="7" t="n">
        <v>366</v>
      </c>
      <c r="D95" s="8" t="b">
        <f aca="false">C95&gt;=0.9*365</f>
        <v>1</v>
      </c>
      <c r="E95" s="5" t="n">
        <f aca="false">IF(D95,A95,"")</f>
        <v>2008</v>
      </c>
      <c r="F95" s="9" t="n">
        <f aca="false">IF(D95,B95,"")</f>
        <v>23</v>
      </c>
    </row>
    <row r="96" customFormat="false" ht="15" hidden="false" customHeight="true" outlineLevel="0" collapsed="false">
      <c r="A96" s="5" t="n">
        <v>2009</v>
      </c>
      <c r="B96" s="6" t="n">
        <v>19.63</v>
      </c>
      <c r="C96" s="7" t="n">
        <v>365</v>
      </c>
      <c r="D96" s="8" t="b">
        <f aca="false">C96&gt;=0.9*365</f>
        <v>1</v>
      </c>
      <c r="E96" s="5" t="n">
        <f aca="false">IF(D96,A96,"")</f>
        <v>2009</v>
      </c>
      <c r="F96" s="9" t="n">
        <f aca="false">IF(D96,B96,"")</f>
        <v>19.63</v>
      </c>
    </row>
    <row r="97" customFormat="false" ht="15" hidden="false" customHeight="true" outlineLevel="0" collapsed="false">
      <c r="A97" s="5" t="n">
        <v>2010</v>
      </c>
      <c r="B97" s="6" t="n">
        <v>18.67</v>
      </c>
      <c r="C97" s="7" t="n">
        <v>365</v>
      </c>
      <c r="D97" s="8" t="b">
        <f aca="false">C97&gt;=0.9*365</f>
        <v>1</v>
      </c>
      <c r="E97" s="5" t="n">
        <f aca="false">IF(D97,A97,"")</f>
        <v>2010</v>
      </c>
      <c r="F97" s="9" t="n">
        <f aca="false">IF(D97,B97,"")</f>
        <v>18.67</v>
      </c>
    </row>
    <row r="98" customFormat="false" ht="15" hidden="false" customHeight="true" outlineLevel="0" collapsed="false">
      <c r="A98" s="5" t="n">
        <v>2011</v>
      </c>
      <c r="B98" s="6" t="n">
        <v>17.32</v>
      </c>
      <c r="C98" s="7" t="n">
        <v>365</v>
      </c>
      <c r="D98" s="8" t="b">
        <f aca="false">C98&gt;=0.9*365</f>
        <v>1</v>
      </c>
      <c r="E98" s="5" t="n">
        <f aca="false">IF(D98,A98,"")</f>
        <v>2011</v>
      </c>
      <c r="F98" s="9" t="n">
        <f aca="false">IF(D98,B98,"")</f>
        <v>17.32</v>
      </c>
    </row>
    <row r="99" customFormat="false" ht="15" hidden="false" customHeight="true" outlineLevel="0" collapsed="false">
      <c r="A99" s="5" t="n">
        <v>2012</v>
      </c>
      <c r="B99" s="6" t="n">
        <v>28.13</v>
      </c>
      <c r="C99" s="7" t="n">
        <v>366</v>
      </c>
      <c r="D99" s="8" t="b">
        <f aca="false">C99&gt;=0.9*365</f>
        <v>1</v>
      </c>
      <c r="E99" s="5" t="n">
        <f aca="false">IF(D99,A99,"")</f>
        <v>2012</v>
      </c>
      <c r="F99" s="9" t="n">
        <f aca="false">IF(D99,B99,"")</f>
        <v>28.13</v>
      </c>
    </row>
    <row r="100" customFormat="false" ht="15" hidden="false" customHeight="true" outlineLevel="0" collapsed="false">
      <c r="A100" s="5" t="n">
        <v>2013</v>
      </c>
      <c r="B100" s="6" t="n">
        <v>21.88</v>
      </c>
      <c r="C100" s="7" t="n">
        <v>365</v>
      </c>
      <c r="D100" s="8" t="b">
        <f aca="false">C100&gt;=0.9*365</f>
        <v>1</v>
      </c>
      <c r="E100" s="5" t="n">
        <f aca="false">IF(D100,A100,"")</f>
        <v>2013</v>
      </c>
      <c r="F100" s="9" t="n">
        <f aca="false">IF(D100,B100,"")</f>
        <v>21.88</v>
      </c>
    </row>
    <row r="101" customFormat="false" ht="15" hidden="false" customHeight="true" outlineLevel="0" collapsed="false">
      <c r="A101" s="5" t="n">
        <v>2014</v>
      </c>
      <c r="B101" s="6" t="n">
        <v>31.9</v>
      </c>
      <c r="C101" s="7" t="n">
        <v>365</v>
      </c>
      <c r="D101" s="8" t="b">
        <f aca="false">C101&gt;=0.9*365</f>
        <v>1</v>
      </c>
      <c r="E101" s="5" t="n">
        <f aca="false">IF(D101,A101,"")</f>
        <v>2014</v>
      </c>
      <c r="F101" s="9" t="n">
        <f aca="false">IF(D101,B101,"")</f>
        <v>31.9</v>
      </c>
    </row>
    <row r="102" customFormat="false" ht="15" hidden="false" customHeight="true" outlineLevel="0" collapsed="false">
      <c r="A102" s="5" t="n">
        <v>2015</v>
      </c>
      <c r="B102" s="6" t="n">
        <v>31.85</v>
      </c>
      <c r="C102" s="7" t="n">
        <v>365</v>
      </c>
      <c r="D102" s="8" t="b">
        <f aca="false">C102&gt;=0.9*365</f>
        <v>1</v>
      </c>
      <c r="E102" s="5" t="n">
        <f aca="false">IF(D102,A102,"")</f>
        <v>2015</v>
      </c>
      <c r="F102" s="9" t="n">
        <f aca="false">IF(D102,B102,"")</f>
        <v>31.85</v>
      </c>
    </row>
    <row r="103" customFormat="false" ht="15" hidden="false" customHeight="true" outlineLevel="0" collapsed="false">
      <c r="A103" s="5" t="n">
        <v>2016</v>
      </c>
      <c r="B103" s="6" t="n">
        <v>45.11</v>
      </c>
      <c r="C103" s="7" t="n">
        <v>366</v>
      </c>
      <c r="D103" s="8" t="b">
        <f aca="false">C103&gt;=0.9*365</f>
        <v>1</v>
      </c>
      <c r="E103" s="5" t="n">
        <f aca="false">IF(D103,A103,"")</f>
        <v>2016</v>
      </c>
      <c r="F103" s="9" t="n">
        <f aca="false">IF(D103,B103,"")</f>
        <v>45.11</v>
      </c>
    </row>
    <row r="104" customFormat="false" ht="15" hidden="false" customHeight="true" outlineLevel="0" collapsed="false">
      <c r="A104" s="5" t="n">
        <v>2017</v>
      </c>
      <c r="B104" s="6" t="n">
        <v>22.77</v>
      </c>
      <c r="C104" s="7" t="n">
        <v>365</v>
      </c>
      <c r="D104" s="8" t="b">
        <f aca="false">C104&gt;=0.9*365</f>
        <v>1</v>
      </c>
      <c r="E104" s="5" t="n">
        <f aca="false">IF(D104,A104,"")</f>
        <v>2017</v>
      </c>
      <c r="F104" s="9" t="n">
        <f aca="false">IF(D104,B104,"")</f>
        <v>22.77</v>
      </c>
    </row>
    <row r="105" customFormat="false" ht="15" hidden="false" customHeight="true" outlineLevel="0" collapsed="false">
      <c r="A105" s="5" t="n">
        <v>2018</v>
      </c>
      <c r="B105" s="6" t="n">
        <v>40.24</v>
      </c>
      <c r="C105" s="7" t="n">
        <v>365</v>
      </c>
      <c r="D105" s="8" t="b">
        <f aca="false">C105&gt;=0.9*365</f>
        <v>1</v>
      </c>
      <c r="E105" s="5" t="n">
        <f aca="false">IF(D105,A105,"")</f>
        <v>2018</v>
      </c>
      <c r="F105" s="9" t="n">
        <f aca="false">IF(D105,B105,"")</f>
        <v>40.24</v>
      </c>
    </row>
    <row r="106" customFormat="false" ht="15" hidden="false" customHeight="true" outlineLevel="0" collapsed="false">
      <c r="A106" s="5" t="n">
        <v>2019</v>
      </c>
      <c r="B106" s="6" t="n">
        <v>25.3</v>
      </c>
      <c r="C106" s="7" t="n">
        <v>365</v>
      </c>
      <c r="D106" s="8" t="b">
        <f aca="false">C106&gt;=0.9*365</f>
        <v>1</v>
      </c>
      <c r="E106" s="5" t="n">
        <f aca="false">IF(D106,A106,"")</f>
        <v>2019</v>
      </c>
      <c r="F106" s="9" t="n">
        <f aca="false">IF(D106,B106,"")</f>
        <v>25.3</v>
      </c>
    </row>
    <row r="107" customFormat="false" ht="15" hidden="false" customHeight="true" outlineLevel="0" collapsed="false">
      <c r="A107" s="5" t="n">
        <v>2020</v>
      </c>
      <c r="B107" s="6" t="n">
        <v>23.83</v>
      </c>
      <c r="C107" s="7" t="n">
        <v>366</v>
      </c>
      <c r="D107" s="8" t="b">
        <f aca="false">C107&gt;=0.9*365</f>
        <v>1</v>
      </c>
      <c r="E107" s="5" t="n">
        <f aca="false">IF(D107,A107,"")</f>
        <v>2020</v>
      </c>
      <c r="F107" s="9" t="n">
        <f aca="false">IF(D107,B107,"")</f>
        <v>23.83</v>
      </c>
    </row>
    <row r="108" customFormat="false" ht="15" hidden="false" customHeight="true" outlineLevel="0" collapsed="false">
      <c r="A108" s="5" t="n">
        <v>2021</v>
      </c>
      <c r="B108" s="6" t="n">
        <v>27.62</v>
      </c>
      <c r="C108" s="7" t="n">
        <v>365</v>
      </c>
      <c r="D108" s="8" t="b">
        <f aca="false">C108&gt;=0.9*365</f>
        <v>1</v>
      </c>
      <c r="E108" s="5" t="n">
        <f aca="false">IF(D108,A108,"")</f>
        <v>2021</v>
      </c>
      <c r="F108" s="9" t="n">
        <f aca="false">IF(D108,B108,"")</f>
        <v>27.62</v>
      </c>
    </row>
    <row r="109" customFormat="false" ht="15" hidden="false" customHeight="true" outlineLevel="0" collapsed="false">
      <c r="A109" s="5" t="n">
        <v>2022</v>
      </c>
      <c r="B109" s="6" t="n">
        <v>19.16</v>
      </c>
      <c r="C109" s="7" t="n">
        <v>365</v>
      </c>
      <c r="D109" s="8" t="b">
        <f aca="false">C109&gt;=0.9*365</f>
        <v>1</v>
      </c>
      <c r="E109" s="5" t="n">
        <f aca="false">IF(D109,A109,"")</f>
        <v>2022</v>
      </c>
      <c r="F109" s="9" t="n">
        <f aca="false">IF(D109,B109,"")</f>
        <v>19.16</v>
      </c>
    </row>
    <row r="110" customFormat="false" ht="15" hidden="false" customHeight="true" outlineLevel="0" collapsed="false">
      <c r="A110" s="5" t="n">
        <v>2023</v>
      </c>
      <c r="B110" s="6" t="n">
        <v>25.76</v>
      </c>
      <c r="C110" s="7" t="n">
        <v>365</v>
      </c>
      <c r="D110" s="8" t="b">
        <f aca="false">C110&gt;=0.9*365</f>
        <v>1</v>
      </c>
      <c r="E110" s="5" t="n">
        <f aca="false">IF(D110,A110,"")</f>
        <v>2023</v>
      </c>
      <c r="F110" s="9" t="n">
        <f aca="false">IF(D110,B110,"")</f>
        <v>25.76</v>
      </c>
    </row>
    <row r="111" customFormat="false" ht="15" hidden="false" customHeight="true" outlineLevel="0" collapsed="false">
      <c r="A111" s="5" t="n">
        <v>2024</v>
      </c>
      <c r="B111" s="6" t="n">
        <v>18.08</v>
      </c>
      <c r="C111" s="7" t="n">
        <v>366</v>
      </c>
      <c r="D111" s="8" t="b">
        <f aca="false">C111&gt;=0.9*365</f>
        <v>1</v>
      </c>
      <c r="E111" s="5" t="n">
        <f aca="false">IF(D111,A111,"")</f>
        <v>2024</v>
      </c>
      <c r="F111" s="9" t="n">
        <f aca="false">IF(D111,B111,"")</f>
        <v>18.08</v>
      </c>
    </row>
    <row r="112" customFormat="false" ht="15" hidden="false" customHeight="true" outlineLevel="0" collapsed="false">
      <c r="A112" s="5" t="n">
        <v>2025</v>
      </c>
      <c r="B112" s="6" t="n">
        <v>11.49</v>
      </c>
      <c r="C112" s="7" t="n">
        <v>365</v>
      </c>
      <c r="D112" s="8" t="b">
        <f aca="false">C112&gt;=0.9*365</f>
        <v>1</v>
      </c>
      <c r="E112" s="5" t="n">
        <f aca="false">IF(D112,A112,"")</f>
        <v>2025</v>
      </c>
      <c r="F112" s="9" t="n">
        <f aca="false">IF(D112,B112,"")</f>
        <v>11.49</v>
      </c>
    </row>
    <row r="113" customFormat="false" ht="15" hidden="false" customHeight="true" outlineLevel="0" collapsed="false">
      <c r="A113" s="5" t="n">
        <v>2026</v>
      </c>
      <c r="B113" s="6" t="n">
        <v>40.97</v>
      </c>
      <c r="C113" s="7" t="n">
        <v>365</v>
      </c>
      <c r="D113" s="8" t="b">
        <f aca="false">C113&gt;=0.9*365</f>
        <v>1</v>
      </c>
      <c r="E113" s="5" t="n">
        <f aca="false">IF(D113,A113,"")</f>
        <v>2026</v>
      </c>
      <c r="F113" s="9" t="n">
        <f aca="false">IF(D113,B113,"")</f>
        <v>40.97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5"/>
  </cols>
  <sheetData>
    <row r="1" customFormat="false" ht="15" hidden="false" customHeight="true" outlineLevel="0" collapsed="false">
      <c r="A1" s="10" t="s">
        <v>16</v>
      </c>
      <c r="B1" s="16" t="s">
        <v>17</v>
      </c>
    </row>
    <row r="2" customFormat="false" ht="15" hidden="false" customHeight="true" outlineLevel="0" collapsed="false">
      <c r="A2" s="10" t="s">
        <v>18</v>
      </c>
      <c r="B2" s="16" t="s">
        <v>19</v>
      </c>
    </row>
    <row r="3" customFormat="false" ht="15" hidden="false" customHeight="true" outlineLevel="0" collapsed="false">
      <c r="A3" s="10" t="s">
        <v>20</v>
      </c>
      <c r="B3" s="16" t="s">
        <v>21</v>
      </c>
    </row>
    <row r="4" customFormat="false" ht="15" hidden="false" customHeight="true" outlineLevel="0" collapsed="false">
      <c r="A4" s="10" t="s">
        <v>22</v>
      </c>
      <c r="B4" s="16" t="s">
        <v>23</v>
      </c>
    </row>
    <row r="5" customFormat="false" ht="15" hidden="false" customHeight="true" outlineLevel="0" collapsed="false">
      <c r="A5" s="10" t="s">
        <v>24</v>
      </c>
      <c r="B5" s="16" t="s">
        <v>25</v>
      </c>
    </row>
    <row r="6" customFormat="false" ht="15" hidden="false" customHeight="true" outlineLevel="0" collapsed="false">
      <c r="A6" s="10" t="s">
        <v>26</v>
      </c>
      <c r="B6" s="16" t="s">
        <v>27</v>
      </c>
    </row>
    <row r="7" customFormat="false" ht="15" hidden="false" customHeight="true" outlineLevel="0" collapsed="false">
      <c r="A7" s="10" t="s">
        <v>28</v>
      </c>
      <c r="B7" s="16" t="s">
        <v>29</v>
      </c>
    </row>
    <row r="8" customFormat="false" ht="15" hidden="false" customHeight="true" outlineLevel="0" collapsed="false">
      <c r="A8" s="10" t="s">
        <v>30</v>
      </c>
      <c r="B8" s="16" t="s">
        <v>31</v>
      </c>
    </row>
    <row r="9" customFormat="false" ht="15" hidden="false" customHeight="true" outlineLevel="0" collapsed="false">
      <c r="A9" s="10" t="s">
        <v>2</v>
      </c>
      <c r="B9" s="16" t="s">
        <v>32</v>
      </c>
    </row>
    <row r="10" customFormat="false" ht="26.25" hidden="false" customHeight="true" outlineLevel="0" collapsed="false">
      <c r="A10" s="10" t="s">
        <v>33</v>
      </c>
      <c r="B10" s="1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2026-10-02T07:46:27Z</dcterms:created>
  <dc:creator>openpyxl</dc:creator>
  <dc:description/>
  <dc:language>en-US</dc:language>
  <cp:lastModifiedBy/>
  <dcterms:modified xsi:type="dcterms:W3CDTF">2026-10-02T07:47:00Z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