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corimackie/Desktop/"/>
    </mc:Choice>
  </mc:AlternateContent>
  <xr:revisionPtr revIDLastSave="0" documentId="13_ncr:1_{A268C562-11A7-284B-8CD0-6D6D5DD87E72}" xr6:coauthVersionLast="47" xr6:coauthVersionMax="47" xr10:uidLastSave="{00000000-0000-0000-0000-000000000000}"/>
  <bookViews>
    <workbookView xWindow="22640" yWindow="2420" windowWidth="18580" windowHeight="22900" firstSheet="1" activeTab="3" xr2:uid="{00000000-000D-0000-FFFF-FFFF00000000}"/>
  </bookViews>
  <sheets>
    <sheet name="Inputs" sheetId="1" r:id="rId1"/>
    <sheet name="Marginal Analysis" sheetId="2" r:id="rId2"/>
    <sheet name="Optimization" sheetId="3" r:id="rId3"/>
    <sheet name="Validation" sheetId="4" r:id="rId4"/>
  </sheets>
  <definedNames>
    <definedName name="CAR_BEDS">Inputs!$B$37</definedName>
    <definedName name="CAR_CAP">Inputs!$B$26</definedName>
    <definedName name="CAR_DIM">Inputs!$B$23</definedName>
    <definedName name="CAR_FERT">Inputs!$B$24</definedName>
    <definedName name="CAR_HPB">Inputs!$B$22</definedName>
    <definedName name="CAR_PRICE">Inputs!$B$25</definedName>
    <definedName name="FARM_BED_CAP">Inputs!$B$13</definedName>
    <definedName name="FARMER_SALARY">Inputs!$B$8</definedName>
    <definedName name="FIXED_COST">Inputs!$B$12</definedName>
    <definedName name="MES_BEDS">Inputs!$B$38</definedName>
    <definedName name="MES_CAP">Inputs!$B$31</definedName>
    <definedName name="MES_DIM">Inputs!$B$28</definedName>
    <definedName name="MES_FERT">Inputs!$B$29</definedName>
    <definedName name="MES_HPB">Inputs!$B$27</definedName>
    <definedName name="MES_PRICE">Inputs!$B$30</definedName>
    <definedName name="OUT_BEDS_IDLE">Optimization!$B$10</definedName>
    <definedName name="OUT_BEDS_USED">Optimization!$B$9</definedName>
    <definedName name="OUT_BLENDED_RATE">Optimization!$B$23</definedName>
    <definedName name="OUT_CAR_BEDS">Optimization!$B$7</definedName>
    <definedName name="OUT_CONSTRAINTS_OK">Validation!$B$14</definedName>
    <definedName name="OUT_CROP_FERT_COST">Optimization!$E$37:$E$39</definedName>
    <definedName name="OUT_CROP_LABOR_COST">Optimization!$F$37:$F$39</definedName>
    <definedName name="OUT_CROP_PROFIT">Optimization!$G$37:$G$39</definedName>
    <definedName name="OUT_CROP_REVENUE">Optimization!$D$37:$D$39</definedName>
    <definedName name="OUT_CROSSING_CAR">'Marginal Analysis'!$B$93</definedName>
    <definedName name="OUT_CROSSING_MES">'Marginal Analysis'!$B$94</definedName>
    <definedName name="OUT_CROSSING_TOM">'Marginal Analysis'!$B$92</definedName>
    <definedName name="OUT_FERT_COST">Optimization!$B$29</definedName>
    <definedName name="OUT_FIXED_COST">Optimization!$B$30</definedName>
    <definedName name="OUT_LABOR_COST">Optimization!$B$28</definedName>
    <definedName name="OUT_MC_SCHEDULE">'Marginal Analysis'!$G$8:$G$27,'Marginal Analysis'!$G$33:$G$52,'Marginal Analysis'!$G$58:$G$87</definedName>
    <definedName name="OUT_MES_BEDS">Optimization!$B$8</definedName>
    <definedName name="OUT_P_MINUS_MC">'Marginal Analysis'!$I$8:$I$27,'Marginal Analysis'!$I$33:$I$52,'Marginal Analysis'!$I$58:$I$87</definedName>
    <definedName name="OUT_PERM_HOURS">Optimization!$B$18</definedName>
    <definedName name="OUT_PNL_RECONCILES">Optimization!$B$44</definedName>
    <definedName name="OUT_REVENUE">Optimization!$B$27</definedName>
    <definedName name="OUT_SEASON_PROFIT">Optimization!$B$32</definedName>
    <definedName name="OUT_TEMP_HOURS">Optimization!$B$19</definedName>
    <definedName name="OUT_TEMP_WORKERS">Optimization!$B$20</definedName>
    <definedName name="OUT_TOM_BEDS">Optimization!$B$6</definedName>
    <definedName name="OUT_TOM_DIP_BED">'Marginal Analysis'!$B$95</definedName>
    <definedName name="OUT_TOM_DIP_SIZE">'Marginal Analysis'!$B$96</definedName>
    <definedName name="OUT_TOTAL_COST">Optimization!$B$31</definedName>
    <definedName name="OUT_TOTAL_HOURS">Optimization!$B$17</definedName>
    <definedName name="PERM_HOURS">Inputs!$B$7</definedName>
    <definedName name="PERM_RATE">Inputs!$B$42</definedName>
    <definedName name="solver_adj" localSheetId="2" hidden="1">Inputs!$B$36:$B$38</definedName>
    <definedName name="solver_eng" localSheetId="2" hidden="1">1</definedName>
    <definedName name="solver_lhs1" localSheetId="2" hidden="1">Inputs!$B$36</definedName>
    <definedName name="solver_lhs2" localSheetId="2" hidden="1">Inputs!$B$37</definedName>
    <definedName name="solver_lhs3" localSheetId="2" hidden="1">Inputs!$B$38</definedName>
    <definedName name="solver_lhs4" localSheetId="2" hidden="1">Optimization!$B$9</definedName>
    <definedName name="solver_lhs5" localSheetId="2" hidden="1">Optimization!$B$20</definedName>
    <definedName name="solver_lhs6" localSheetId="2" hidden="1">Inputs!$B$36:$B$38</definedName>
    <definedName name="solver_neg" localSheetId="2" hidden="1">1</definedName>
    <definedName name="solver_num" localSheetId="2" hidden="1">6</definedName>
    <definedName name="solver_opt" localSheetId="2" hidden="1">Optimization!$B$32</definedName>
    <definedName name="solver_rel1" localSheetId="2" hidden="1">1</definedName>
    <definedName name="solver_rel2" localSheetId="2" hidden="1">1</definedName>
    <definedName name="solver_rel3" localSheetId="2" hidden="1">1</definedName>
    <definedName name="solver_rel4" localSheetId="2" hidden="1">1</definedName>
    <definedName name="solver_rel5" localSheetId="2" hidden="1">1</definedName>
    <definedName name="solver_rel6" localSheetId="2" hidden="1">4</definedName>
    <definedName name="solver_rhs1" localSheetId="2" hidden="1">Inputs!$B$21</definedName>
    <definedName name="solver_rhs2" localSheetId="2" hidden="1">Inputs!$B$26</definedName>
    <definedName name="solver_rhs3" localSheetId="2" hidden="1">Inputs!$B$31</definedName>
    <definedName name="solver_rhs4" localSheetId="2" hidden="1">Inputs!$B$13</definedName>
    <definedName name="solver_rhs5" localSheetId="2" hidden="1">Inputs!$B$11</definedName>
    <definedName name="solver_rhs6" localSheetId="2" hidden="1">integer</definedName>
    <definedName name="solver_typ" localSheetId="2" hidden="1">1</definedName>
    <definedName name="solver_val" localSheetId="2" hidden="1">0</definedName>
    <definedName name="solver_ver" localSheetId="2" hidden="1">3</definedName>
    <definedName name="TEMP_RATE">Inputs!$B$43</definedName>
    <definedName name="TEMP_WORKER_HRS">Inputs!$B$10</definedName>
    <definedName name="TEMP_WORKER_PAY">Inputs!$B$9</definedName>
    <definedName name="TEMP_WORKERS_MAX">Inputs!$B$11</definedName>
    <definedName name="TOM_BEDS">Inputs!$B$36</definedName>
    <definedName name="TOM_CAP">Inputs!$B$21</definedName>
    <definedName name="TOM_DIM">Inputs!$B$18</definedName>
    <definedName name="TOM_FERT">Inputs!$B$19</definedName>
    <definedName name="TOM_HPB">Inputs!$B$17</definedName>
    <definedName name="TOM_PRICE">Inputs!$B$20</definedName>
    <definedName name="WEEKS">Inputs!$B$6</definedName>
  </definedNames>
  <calcPr calcId="191029" iterateDelta="1E-4"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3" l="1"/>
  <c r="B37" i="3"/>
  <c r="B33" i="4"/>
  <c r="B12" i="4"/>
  <c r="B11" i="4"/>
  <c r="B8" i="4"/>
  <c r="B7" i="4"/>
  <c r="B6" i="4"/>
  <c r="E40" i="3"/>
  <c r="D40" i="3"/>
  <c r="E39" i="3"/>
  <c r="D39" i="3"/>
  <c r="C39" i="3"/>
  <c r="B39" i="3"/>
  <c r="B40" i="3" s="1"/>
  <c r="E38" i="3"/>
  <c r="D38" i="3"/>
  <c r="E37" i="3"/>
  <c r="D37" i="3"/>
  <c r="B30" i="3"/>
  <c r="G41" i="3" s="1"/>
  <c r="B27" i="3"/>
  <c r="B16" i="3"/>
  <c r="B14" i="3"/>
  <c r="C37" i="3" s="1"/>
  <c r="B8" i="3"/>
  <c r="B7" i="3"/>
  <c r="B6" i="3"/>
  <c r="H87" i="2"/>
  <c r="F87" i="2"/>
  <c r="C87" i="2"/>
  <c r="B87" i="2"/>
  <c r="H86" i="2"/>
  <c r="F86" i="2"/>
  <c r="D86" i="2"/>
  <c r="C86" i="2"/>
  <c r="E86" i="2" s="1"/>
  <c r="B86" i="2"/>
  <c r="D87" i="2" s="1"/>
  <c r="H85" i="2"/>
  <c r="F85" i="2"/>
  <c r="B85" i="2"/>
  <c r="C85" i="2" s="1"/>
  <c r="H84" i="2"/>
  <c r="F84" i="2"/>
  <c r="B84" i="2"/>
  <c r="H83" i="2"/>
  <c r="F83" i="2"/>
  <c r="B83" i="2"/>
  <c r="H82" i="2"/>
  <c r="F82" i="2"/>
  <c r="C82" i="2"/>
  <c r="B82" i="2"/>
  <c r="H81" i="2"/>
  <c r="F81" i="2"/>
  <c r="B81" i="2"/>
  <c r="H80" i="2"/>
  <c r="F80" i="2"/>
  <c r="B80" i="2"/>
  <c r="H79" i="2"/>
  <c r="F79" i="2"/>
  <c r="B79" i="2"/>
  <c r="H78" i="2"/>
  <c r="F78" i="2"/>
  <c r="E78" i="2"/>
  <c r="D78" i="2"/>
  <c r="C78" i="2"/>
  <c r="B78" i="2"/>
  <c r="H77" i="2"/>
  <c r="F77" i="2"/>
  <c r="B77" i="2"/>
  <c r="C77" i="2" s="1"/>
  <c r="H76" i="2"/>
  <c r="F76" i="2"/>
  <c r="B76" i="2"/>
  <c r="H75" i="2"/>
  <c r="F75" i="2"/>
  <c r="B75" i="2"/>
  <c r="H74" i="2"/>
  <c r="F74" i="2"/>
  <c r="C74" i="2"/>
  <c r="B74" i="2"/>
  <c r="H73" i="2"/>
  <c r="F73" i="2"/>
  <c r="B73" i="2"/>
  <c r="H72" i="2"/>
  <c r="F72" i="2"/>
  <c r="B72" i="2"/>
  <c r="H71" i="2"/>
  <c r="F71" i="2"/>
  <c r="B71" i="2"/>
  <c r="C71" i="2" s="1"/>
  <c r="H70" i="2"/>
  <c r="F70" i="2"/>
  <c r="D70" i="2"/>
  <c r="C70" i="2"/>
  <c r="B70" i="2"/>
  <c r="H69" i="2"/>
  <c r="F69" i="2"/>
  <c r="B69" i="2"/>
  <c r="C69" i="2" s="1"/>
  <c r="H68" i="2"/>
  <c r="F68" i="2"/>
  <c r="B68" i="2"/>
  <c r="H67" i="2"/>
  <c r="F67" i="2"/>
  <c r="B67" i="2"/>
  <c r="H66" i="2"/>
  <c r="F66" i="2"/>
  <c r="C66" i="2"/>
  <c r="B66" i="2"/>
  <c r="C67" i="2" s="1"/>
  <c r="H65" i="2"/>
  <c r="F65" i="2"/>
  <c r="B65" i="2"/>
  <c r="C65" i="2" s="1"/>
  <c r="H64" i="2"/>
  <c r="F64" i="2"/>
  <c r="B64" i="2"/>
  <c r="H63" i="2"/>
  <c r="F63" i="2"/>
  <c r="C63" i="2"/>
  <c r="B63" i="2"/>
  <c r="H62" i="2"/>
  <c r="F62" i="2"/>
  <c r="B62" i="2"/>
  <c r="H61" i="2"/>
  <c r="F61" i="2"/>
  <c r="B61" i="2"/>
  <c r="C61" i="2" s="1"/>
  <c r="H60" i="2"/>
  <c r="F60" i="2"/>
  <c r="B60" i="2"/>
  <c r="H59" i="2"/>
  <c r="F59" i="2"/>
  <c r="B59" i="2"/>
  <c r="K58" i="2"/>
  <c r="H58" i="2"/>
  <c r="F58" i="2"/>
  <c r="B58" i="2"/>
  <c r="B57" i="2"/>
  <c r="H52" i="2"/>
  <c r="F52" i="2"/>
  <c r="H51" i="2"/>
  <c r="F51" i="2"/>
  <c r="B51" i="2"/>
  <c r="H50" i="2"/>
  <c r="F50" i="2"/>
  <c r="B50" i="2"/>
  <c r="H49" i="2"/>
  <c r="F49" i="2"/>
  <c r="B49" i="2"/>
  <c r="H48" i="2"/>
  <c r="F48" i="2"/>
  <c r="H47" i="2"/>
  <c r="F47" i="2"/>
  <c r="B47" i="2"/>
  <c r="H46" i="2"/>
  <c r="F46" i="2"/>
  <c r="H45" i="2"/>
  <c r="F45" i="2"/>
  <c r="B45" i="2"/>
  <c r="H44" i="2"/>
  <c r="F44" i="2"/>
  <c r="H43" i="2"/>
  <c r="F43" i="2"/>
  <c r="H42" i="2"/>
  <c r="F42" i="2"/>
  <c r="B42" i="2"/>
  <c r="H41" i="2"/>
  <c r="F41" i="2"/>
  <c r="H40" i="2"/>
  <c r="F40" i="2"/>
  <c r="H39" i="2"/>
  <c r="F39" i="2"/>
  <c r="H38" i="2"/>
  <c r="F38" i="2"/>
  <c r="B38" i="2"/>
  <c r="H37" i="2"/>
  <c r="F37" i="2"/>
  <c r="B37" i="2"/>
  <c r="H36" i="2"/>
  <c r="F36" i="2"/>
  <c r="H35" i="2"/>
  <c r="F35" i="2"/>
  <c r="B35" i="2"/>
  <c r="H34" i="2"/>
  <c r="F34" i="2"/>
  <c r="K33" i="2"/>
  <c r="H33" i="2"/>
  <c r="F33" i="2"/>
  <c r="B32" i="2"/>
  <c r="H27" i="2"/>
  <c r="F27" i="2"/>
  <c r="B27" i="2"/>
  <c r="C27" i="2" s="1"/>
  <c r="H26" i="2"/>
  <c r="F26" i="2"/>
  <c r="B26" i="2"/>
  <c r="H25" i="2"/>
  <c r="F25" i="2"/>
  <c r="B25" i="2"/>
  <c r="C26" i="2" s="1"/>
  <c r="H24" i="2"/>
  <c r="F24" i="2"/>
  <c r="B24" i="2"/>
  <c r="H23" i="2"/>
  <c r="F23" i="2"/>
  <c r="B23" i="2"/>
  <c r="H22" i="2"/>
  <c r="F22" i="2"/>
  <c r="B22" i="2"/>
  <c r="H21" i="2"/>
  <c r="F21" i="2"/>
  <c r="C21" i="2"/>
  <c r="B21" i="2"/>
  <c r="H20" i="2"/>
  <c r="F20" i="2"/>
  <c r="E20" i="2"/>
  <c r="D20" i="2"/>
  <c r="C20" i="2"/>
  <c r="B20" i="2"/>
  <c r="H19" i="2"/>
  <c r="F19" i="2"/>
  <c r="B19" i="2"/>
  <c r="H18" i="2"/>
  <c r="F18" i="2"/>
  <c r="B18" i="2"/>
  <c r="H17" i="2"/>
  <c r="F17" i="2"/>
  <c r="B17" i="2"/>
  <c r="H16" i="2"/>
  <c r="F16" i="2"/>
  <c r="C16" i="2"/>
  <c r="B16" i="2"/>
  <c r="H15" i="2"/>
  <c r="F15" i="2"/>
  <c r="B15" i="2"/>
  <c r="H14" i="2"/>
  <c r="F14" i="2"/>
  <c r="B14" i="2"/>
  <c r="H13" i="2"/>
  <c r="F13" i="2"/>
  <c r="B13" i="2"/>
  <c r="H12" i="2"/>
  <c r="F12" i="2"/>
  <c r="B12" i="2"/>
  <c r="C12" i="2" s="1"/>
  <c r="H11" i="2"/>
  <c r="F11" i="2"/>
  <c r="B11" i="2"/>
  <c r="H10" i="2"/>
  <c r="F10" i="2"/>
  <c r="C10" i="2"/>
  <c r="B10" i="2"/>
  <c r="H9" i="2"/>
  <c r="F9" i="2"/>
  <c r="B9" i="2"/>
  <c r="K8" i="2"/>
  <c r="H8" i="2"/>
  <c r="F8" i="2"/>
  <c r="B8" i="2"/>
  <c r="C8" i="2" s="1"/>
  <c r="B7" i="2"/>
  <c r="D8" i="2" s="1"/>
  <c r="B43" i="1"/>
  <c r="B42" i="1"/>
  <c r="B46" i="4" s="1"/>
  <c r="E38" i="1"/>
  <c r="E37" i="1"/>
  <c r="E36" i="1"/>
  <c r="B22" i="1"/>
  <c r="B33" i="2" s="1"/>
  <c r="C33" i="2" s="1"/>
  <c r="E12" i="2" l="1"/>
  <c r="D33" i="2"/>
  <c r="E33" i="2" s="1"/>
  <c r="D71" i="2"/>
  <c r="D23" i="2"/>
  <c r="C22" i="2"/>
  <c r="D10" i="2"/>
  <c r="D21" i="2"/>
  <c r="C24" i="2"/>
  <c r="D18" i="2"/>
  <c r="D67" i="2"/>
  <c r="E67" i="2" s="1"/>
  <c r="E82" i="2"/>
  <c r="E26" i="2"/>
  <c r="D38" i="2"/>
  <c r="C47" i="2"/>
  <c r="D50" i="2"/>
  <c r="I8" i="2"/>
  <c r="C23" i="2"/>
  <c r="C11" i="2"/>
  <c r="D12" i="2"/>
  <c r="E8" i="2"/>
  <c r="G8" i="2" s="1"/>
  <c r="C13" i="2"/>
  <c r="D13" i="2" s="1"/>
  <c r="G20" i="2"/>
  <c r="I20" i="2" s="1"/>
  <c r="E77" i="2"/>
  <c r="G87" i="2"/>
  <c r="E87" i="2"/>
  <c r="B29" i="3"/>
  <c r="D82" i="2"/>
  <c r="D66" i="2"/>
  <c r="E66" i="2" s="1"/>
  <c r="C14" i="2"/>
  <c r="D14" i="2" s="1"/>
  <c r="C15" i="2"/>
  <c r="D15" i="2" s="1"/>
  <c r="C25" i="2"/>
  <c r="B43" i="2"/>
  <c r="C50" i="2"/>
  <c r="C64" i="2"/>
  <c r="D65" i="2"/>
  <c r="D76" i="2"/>
  <c r="C76" i="2"/>
  <c r="D77" i="2"/>
  <c r="C81" i="2"/>
  <c r="G86" i="2"/>
  <c r="C72" i="2"/>
  <c r="D73" i="2"/>
  <c r="G70" i="2"/>
  <c r="C75" i="2"/>
  <c r="D52" i="2"/>
  <c r="D16" i="2"/>
  <c r="E16" i="2" s="1"/>
  <c r="C17" i="2"/>
  <c r="D26" i="2"/>
  <c r="C38" i="2"/>
  <c r="C51" i="2"/>
  <c r="C60" i="2"/>
  <c r="D61" i="2"/>
  <c r="D63" i="2"/>
  <c r="E70" i="2"/>
  <c r="C80" i="2"/>
  <c r="D81" i="2"/>
  <c r="B52" i="2"/>
  <c r="C52" i="2" s="1"/>
  <c r="B48" i="2"/>
  <c r="B44" i="2"/>
  <c r="C45" i="2" s="1"/>
  <c r="B40" i="2"/>
  <c r="B36" i="2"/>
  <c r="B15" i="3"/>
  <c r="D27" i="2"/>
  <c r="C18" i="2"/>
  <c r="C19" i="2"/>
  <c r="D19" i="2" s="1"/>
  <c r="B39" i="2"/>
  <c r="B46" i="2"/>
  <c r="C58" i="2"/>
  <c r="C59" i="2"/>
  <c r="D59" i="2" s="1"/>
  <c r="D74" i="2"/>
  <c r="C79" i="2"/>
  <c r="I86" i="2"/>
  <c r="B18" i="4"/>
  <c r="B19" i="4" s="1"/>
  <c r="C62" i="2"/>
  <c r="C9" i="2"/>
  <c r="B34" i="2"/>
  <c r="C35" i="2" s="1"/>
  <c r="B41" i="2"/>
  <c r="C42" i="2" s="1"/>
  <c r="C68" i="2"/>
  <c r="D69" i="2"/>
  <c r="C73" i="2"/>
  <c r="C84" i="2"/>
  <c r="D85" i="2"/>
  <c r="B9" i="3"/>
  <c r="D37" i="4"/>
  <c r="B37" i="4"/>
  <c r="G78" i="2"/>
  <c r="C83" i="2"/>
  <c r="E45" i="2" l="1"/>
  <c r="G14" i="2"/>
  <c r="E42" i="2"/>
  <c r="G13" i="2"/>
  <c r="B10" i="3"/>
  <c r="B9" i="4"/>
  <c r="D83" i="2"/>
  <c r="C38" i="3"/>
  <c r="B17" i="3"/>
  <c r="K87" i="2"/>
  <c r="I87" i="2"/>
  <c r="J8" i="2"/>
  <c r="K78" i="2"/>
  <c r="C36" i="2"/>
  <c r="D84" i="2"/>
  <c r="D47" i="2"/>
  <c r="C46" i="2"/>
  <c r="D79" i="2"/>
  <c r="E79" i="2" s="1"/>
  <c r="G26" i="2"/>
  <c r="D75" i="2"/>
  <c r="G77" i="2"/>
  <c r="C37" i="2"/>
  <c r="E23" i="2"/>
  <c r="G50" i="2"/>
  <c r="G18" i="2"/>
  <c r="E61" i="2"/>
  <c r="G61" i="2" s="1"/>
  <c r="E76" i="2"/>
  <c r="E25" i="2"/>
  <c r="E47" i="2"/>
  <c r="G23" i="2"/>
  <c r="E13" i="2"/>
  <c r="E14" i="2"/>
  <c r="G67" i="2"/>
  <c r="E71" i="2"/>
  <c r="G71" i="2" s="1"/>
  <c r="C39" i="2"/>
  <c r="D45" i="2"/>
  <c r="C44" i="2"/>
  <c r="E60" i="2"/>
  <c r="K86" i="2"/>
  <c r="E64" i="2"/>
  <c r="D64" i="2"/>
  <c r="E65" i="2"/>
  <c r="G65" i="2" s="1"/>
  <c r="G12" i="2"/>
  <c r="E74" i="2"/>
  <c r="G74" i="2" s="1"/>
  <c r="D17" i="2"/>
  <c r="E10" i="2"/>
  <c r="G10" i="2" s="1"/>
  <c r="E21" i="2"/>
  <c r="G21" i="2" s="1"/>
  <c r="G66" i="2"/>
  <c r="D25" i="2"/>
  <c r="E73" i="2"/>
  <c r="G73" i="2" s="1"/>
  <c r="E19" i="2"/>
  <c r="G19" i="2" s="1"/>
  <c r="C48" i="2"/>
  <c r="D80" i="2"/>
  <c r="E51" i="2"/>
  <c r="D72" i="2"/>
  <c r="E81" i="2"/>
  <c r="G81" i="2" s="1"/>
  <c r="E50" i="2"/>
  <c r="D51" i="2"/>
  <c r="D11" i="2"/>
  <c r="E11" i="2" s="1"/>
  <c r="E69" i="2"/>
  <c r="G69" i="2" s="1"/>
  <c r="E68" i="2"/>
  <c r="G27" i="2"/>
  <c r="G85" i="2"/>
  <c r="E85" i="2"/>
  <c r="D68" i="2"/>
  <c r="E59" i="2"/>
  <c r="G59" i="2" s="1"/>
  <c r="G16" i="2"/>
  <c r="G76" i="2"/>
  <c r="E15" i="2"/>
  <c r="G15" i="2" s="1"/>
  <c r="D58" i="2"/>
  <c r="E58" i="2"/>
  <c r="D62" i="2"/>
  <c r="E63" i="2"/>
  <c r="G63" i="2" s="1"/>
  <c r="D42" i="2"/>
  <c r="C41" i="2"/>
  <c r="D41" i="2" s="1"/>
  <c r="C40" i="2"/>
  <c r="D35" i="2"/>
  <c r="E35" i="2" s="1"/>
  <c r="C34" i="2"/>
  <c r="I70" i="2"/>
  <c r="D9" i="2"/>
  <c r="E9" i="2"/>
  <c r="E18" i="2"/>
  <c r="E52" i="2"/>
  <c r="G52" i="2" s="1"/>
  <c r="E38" i="2"/>
  <c r="G38" i="2" s="1"/>
  <c r="I78" i="2"/>
  <c r="C43" i="2"/>
  <c r="D44" i="2"/>
  <c r="G82" i="2"/>
  <c r="E27" i="2"/>
  <c r="D24" i="2"/>
  <c r="C49" i="2"/>
  <c r="D60" i="2"/>
  <c r="D22" i="2"/>
  <c r="G33" i="2"/>
  <c r="I33" i="2" s="1"/>
  <c r="I81" i="2" l="1"/>
  <c r="I10" i="2"/>
  <c r="I69" i="2"/>
  <c r="K70" i="2"/>
  <c r="I52" i="2"/>
  <c r="K19" i="2"/>
  <c r="I19" i="2"/>
  <c r="K20" i="2"/>
  <c r="K21" i="2"/>
  <c r="I21" i="2"/>
  <c r="K15" i="2"/>
  <c r="I15" i="2"/>
  <c r="I38" i="2"/>
  <c r="K74" i="2"/>
  <c r="I74" i="2"/>
  <c r="K59" i="2"/>
  <c r="I59" i="2"/>
  <c r="I73" i="2"/>
  <c r="K65" i="2"/>
  <c r="I65" i="2"/>
  <c r="K71" i="2"/>
  <c r="I71" i="2"/>
  <c r="K61" i="2"/>
  <c r="I61" i="2"/>
  <c r="I63" i="2"/>
  <c r="G60" i="2"/>
  <c r="I85" i="2"/>
  <c r="G25" i="2"/>
  <c r="G64" i="2"/>
  <c r="D39" i="2"/>
  <c r="K26" i="2"/>
  <c r="I26" i="2"/>
  <c r="E49" i="2"/>
  <c r="E40" i="2"/>
  <c r="G72" i="2"/>
  <c r="I18" i="2"/>
  <c r="I13" i="2"/>
  <c r="K13" i="2"/>
  <c r="C40" i="3"/>
  <c r="G42" i="2"/>
  <c r="G9" i="2"/>
  <c r="K10" i="2" s="1"/>
  <c r="E83" i="2"/>
  <c r="G83" i="2" s="1"/>
  <c r="J33" i="2"/>
  <c r="E62" i="2"/>
  <c r="G62" i="2" s="1"/>
  <c r="D49" i="2"/>
  <c r="E44" i="2"/>
  <c r="G44" i="2" s="1"/>
  <c r="I67" i="2"/>
  <c r="K67" i="2"/>
  <c r="K77" i="2"/>
  <c r="I77" i="2"/>
  <c r="D36" i="2"/>
  <c r="K27" i="2"/>
  <c r="I27" i="2"/>
  <c r="K66" i="2"/>
  <c r="I66" i="2"/>
  <c r="I23" i="2"/>
  <c r="D46" i="2"/>
  <c r="B19" i="3"/>
  <c r="B18" i="3"/>
  <c r="B21" i="3" s="1"/>
  <c r="I76" i="2"/>
  <c r="I50" i="2"/>
  <c r="K82" i="2"/>
  <c r="I82" i="2"/>
  <c r="D48" i="2"/>
  <c r="E80" i="2"/>
  <c r="G80" i="2" s="1"/>
  <c r="E72" i="2"/>
  <c r="D43" i="2"/>
  <c r="E43" i="2" s="1"/>
  <c r="G68" i="2"/>
  <c r="K69" i="2" s="1"/>
  <c r="G45" i="2"/>
  <c r="G75" i="2"/>
  <c r="K76" i="2" s="1"/>
  <c r="D37" i="2"/>
  <c r="G79" i="2"/>
  <c r="E41" i="2"/>
  <c r="G41" i="2" s="1"/>
  <c r="G47" i="2"/>
  <c r="K16" i="2"/>
  <c r="I16" i="2"/>
  <c r="K14" i="2"/>
  <c r="I14" i="2"/>
  <c r="G11" i="2"/>
  <c r="E24" i="2"/>
  <c r="G24" i="2" s="1"/>
  <c r="G22" i="2"/>
  <c r="D34" i="2"/>
  <c r="G51" i="2"/>
  <c r="I12" i="2"/>
  <c r="E22" i="2"/>
  <c r="G35" i="2"/>
  <c r="G58" i="2"/>
  <c r="I58" i="2" s="1"/>
  <c r="D40" i="2"/>
  <c r="E17" i="2"/>
  <c r="G17" i="2" s="1"/>
  <c r="E75" i="2"/>
  <c r="E84" i="2"/>
  <c r="G84" i="2" s="1"/>
  <c r="K24" i="2" l="1"/>
  <c r="I24" i="2"/>
  <c r="K62" i="2"/>
  <c r="I62" i="2"/>
  <c r="K63" i="2"/>
  <c r="K83" i="2"/>
  <c r="I83" i="2"/>
  <c r="K44" i="2"/>
  <c r="I44" i="2"/>
  <c r="K84" i="2"/>
  <c r="I84" i="2"/>
  <c r="K85" i="2"/>
  <c r="B24" i="4"/>
  <c r="B26" i="4" s="1"/>
  <c r="K17" i="2"/>
  <c r="I17" i="2"/>
  <c r="K18" i="2"/>
  <c r="I41" i="2"/>
  <c r="K80" i="2"/>
  <c r="I80" i="2"/>
  <c r="K81" i="2"/>
  <c r="K22" i="2"/>
  <c r="I22" i="2"/>
  <c r="K51" i="2"/>
  <c r="I51" i="2"/>
  <c r="K23" i="2"/>
  <c r="K72" i="2"/>
  <c r="I72" i="2"/>
  <c r="K25" i="2"/>
  <c r="I25" i="2"/>
  <c r="K73" i="2"/>
  <c r="K52" i="2"/>
  <c r="K79" i="2"/>
  <c r="I79" i="2"/>
  <c r="G46" i="2"/>
  <c r="K47" i="2" s="1"/>
  <c r="G36" i="2"/>
  <c r="K42" i="2"/>
  <c r="I42" i="2"/>
  <c r="I47" i="2"/>
  <c r="B20" i="3"/>
  <c r="B10" i="4" s="1"/>
  <c r="B14" i="4" s="1"/>
  <c r="B44" i="4" s="1"/>
  <c r="B22" i="3"/>
  <c r="B28" i="3" s="1"/>
  <c r="E46" i="2"/>
  <c r="E36" i="2"/>
  <c r="K9" i="2"/>
  <c r="I9" i="2"/>
  <c r="E39" i="2"/>
  <c r="G39" i="2" s="1"/>
  <c r="G34" i="2"/>
  <c r="I75" i="2"/>
  <c r="K75" i="2"/>
  <c r="G40" i="2"/>
  <c r="K41" i="2" s="1"/>
  <c r="E34" i="2"/>
  <c r="K45" i="2"/>
  <c r="I45" i="2"/>
  <c r="E48" i="2"/>
  <c r="G48" i="2" s="1"/>
  <c r="J63" i="2"/>
  <c r="J59" i="2"/>
  <c r="J58" i="2"/>
  <c r="K68" i="2"/>
  <c r="I68" i="2"/>
  <c r="K60" i="2"/>
  <c r="I60" i="2"/>
  <c r="J78" i="2" s="1"/>
  <c r="I35" i="2"/>
  <c r="G43" i="2"/>
  <c r="G49" i="2"/>
  <c r="K11" i="2"/>
  <c r="I11" i="2"/>
  <c r="K12" i="2"/>
  <c r="E37" i="2"/>
  <c r="G37" i="2" s="1"/>
  <c r="K64" i="2"/>
  <c r="I64" i="2"/>
  <c r="B31" i="3" l="1"/>
  <c r="B32" i="3" s="1"/>
  <c r="B23" i="3"/>
  <c r="K39" i="2"/>
  <c r="I39" i="2"/>
  <c r="I48" i="2"/>
  <c r="K48" i="2"/>
  <c r="K37" i="2"/>
  <c r="I37" i="2"/>
  <c r="K38" i="2"/>
  <c r="J84" i="2"/>
  <c r="J61" i="2"/>
  <c r="B94" i="2" s="1"/>
  <c r="J87" i="2"/>
  <c r="J73" i="2"/>
  <c r="J82" i="2"/>
  <c r="I36" i="2"/>
  <c r="K36" i="2"/>
  <c r="J86" i="2"/>
  <c r="J72" i="2"/>
  <c r="K34" i="2"/>
  <c r="I34" i="2"/>
  <c r="J64" i="2"/>
  <c r="J85" i="2"/>
  <c r="J71" i="2"/>
  <c r="J10" i="2"/>
  <c r="J26" i="2"/>
  <c r="J23" i="2"/>
  <c r="J14" i="2"/>
  <c r="J15" i="2"/>
  <c r="J18" i="2"/>
  <c r="J27" i="2"/>
  <c r="J20" i="2"/>
  <c r="J16" i="2"/>
  <c r="J22" i="2"/>
  <c r="J12" i="2"/>
  <c r="J11" i="2"/>
  <c r="J25" i="2"/>
  <c r="J19" i="2"/>
  <c r="J24" i="2"/>
  <c r="J9" i="2"/>
  <c r="J13" i="2"/>
  <c r="J21" i="2"/>
  <c r="J17" i="2"/>
  <c r="K43" i="2"/>
  <c r="I43" i="2"/>
  <c r="J62" i="2"/>
  <c r="J67" i="2"/>
  <c r="J65" i="2"/>
  <c r="J74" i="2"/>
  <c r="J77" i="2"/>
  <c r="J81" i="2"/>
  <c r="K46" i="2"/>
  <c r="I46" i="2"/>
  <c r="J60" i="2"/>
  <c r="B52" i="4" s="1"/>
  <c r="J79" i="2"/>
  <c r="J66" i="2"/>
  <c r="K49" i="2"/>
  <c r="I49" i="2"/>
  <c r="K50" i="2"/>
  <c r="J80" i="2"/>
  <c r="J68" i="2"/>
  <c r="J76" i="2"/>
  <c r="J70" i="2"/>
  <c r="B96" i="2"/>
  <c r="B58" i="4" s="1"/>
  <c r="B95" i="2"/>
  <c r="B57" i="4" s="1"/>
  <c r="K35" i="2"/>
  <c r="J75" i="2"/>
  <c r="J83" i="2"/>
  <c r="J69" i="2"/>
  <c r="K40" i="2"/>
  <c r="I40" i="2"/>
  <c r="J36" i="2" l="1"/>
  <c r="J38" i="2"/>
  <c r="J41" i="2"/>
  <c r="J34" i="2"/>
  <c r="J48" i="2"/>
  <c r="J43" i="2"/>
  <c r="J44" i="2"/>
  <c r="J49" i="2"/>
  <c r="J37" i="2"/>
  <c r="J52" i="2"/>
  <c r="J46" i="2"/>
  <c r="J42" i="2"/>
  <c r="J47" i="2"/>
  <c r="J39" i="2"/>
  <c r="J40" i="2"/>
  <c r="J45" i="2"/>
  <c r="J35" i="2"/>
  <c r="J51" i="2"/>
  <c r="J50" i="2"/>
  <c r="F37" i="3"/>
  <c r="F39" i="3"/>
  <c r="G39" i="3" s="1"/>
  <c r="F38" i="3"/>
  <c r="G38" i="3" s="1"/>
  <c r="B92" i="2"/>
  <c r="B50" i="4"/>
  <c r="D38" i="4"/>
  <c r="B38" i="4"/>
  <c r="D43" i="4" l="1"/>
  <c r="F40" i="3"/>
  <c r="G37" i="3"/>
  <c r="G40" i="3" s="1"/>
  <c r="G42" i="3" s="1"/>
  <c r="B51" i="4"/>
  <c r="B93" i="2"/>
  <c r="D39" i="4" s="1"/>
  <c r="B43" i="4"/>
  <c r="B44" i="3" l="1"/>
  <c r="B45" i="4" s="1"/>
  <c r="B39" i="4"/>
</calcChain>
</file>

<file path=xl/sharedStrings.xml><?xml version="1.0" encoding="utf-8"?>
<sst xmlns="http://schemas.openxmlformats.org/spreadsheetml/2006/main" count="388" uniqueCount="255">
  <si>
    <t>Farm Labor &amp; Profit Model — Inputs</t>
  </si>
  <si>
    <t>Every input below is a named range carrying its stated unit. Shaded cells are the only typed constants in the workbook; everything else, on every sheet, is a formula.</t>
  </si>
  <si>
    <t>Farm-wide assumptions</t>
  </si>
  <si>
    <t>Name</t>
  </si>
  <si>
    <t>Value</t>
  </si>
  <si>
    <t>Unit</t>
  </si>
  <si>
    <t>Source</t>
  </si>
  <si>
    <t>WEEKS</t>
  </si>
  <si>
    <t>weeks</t>
  </si>
  <si>
    <t>Case scenario — season length</t>
  </si>
  <si>
    <t>PERM_HOURS</t>
  </si>
  <si>
    <t>hours per season</t>
  </si>
  <si>
    <t>Case scenario — half the farmer's season</t>
  </si>
  <si>
    <t>FARMER_SALARY</t>
  </si>
  <si>
    <t>$ per season</t>
  </si>
  <si>
    <t>Case scenario</t>
  </si>
  <si>
    <t>TEMP_WORKER_PAY</t>
  </si>
  <si>
    <t>$ per worker per season</t>
  </si>
  <si>
    <t>TEMP_WORKER_HRS</t>
  </si>
  <si>
    <t>hours per worker per season</t>
  </si>
  <si>
    <t>TEMP_WORKERS_MAX</t>
  </si>
  <si>
    <t>workers</t>
  </si>
  <si>
    <t>Case scenario constraint</t>
  </si>
  <si>
    <t>FIXED_COST</t>
  </si>
  <si>
    <t>FARM_BED_CAP</t>
  </si>
  <si>
    <t>beds</t>
  </si>
  <si>
    <t>Case scenario — 16 beds x 4 plots</t>
  </si>
  <si>
    <t>Per-crop assumptions</t>
  </si>
  <si>
    <t>TOM_HPB</t>
  </si>
  <si>
    <t>hours per week per bed</t>
  </si>
  <si>
    <t>Case table</t>
  </si>
  <si>
    <t>TOM_DIM</t>
  </si>
  <si>
    <t>fraction, per bed</t>
  </si>
  <si>
    <t>TOM_FERT</t>
  </si>
  <si>
    <t>$ per bed</t>
  </si>
  <si>
    <t>TOM_PRICE</t>
  </si>
  <si>
    <t>TOM_CAP</t>
  </si>
  <si>
    <t>CAR_HPB</t>
  </si>
  <si>
    <t>Case shows 0.833; that figure is rounded. Entered as =5/6 to hold exact precision (spec Convention 1).</t>
  </si>
  <si>
    <t>CAR_DIM</t>
  </si>
  <si>
    <t>CAR_FERT</t>
  </si>
  <si>
    <t>CAR_PRICE</t>
  </si>
  <si>
    <t>CAR_CAP</t>
  </si>
  <si>
    <t>MES_HPB</t>
  </si>
  <si>
    <t>MES_DIM</t>
  </si>
  <si>
    <t>MES_FERT</t>
  </si>
  <si>
    <t>MES_PRICE</t>
  </si>
  <si>
    <t>MES_CAP</t>
  </si>
  <si>
    <t>Decision variables — the Solver changing cells</t>
  </si>
  <si>
    <t>Whole beds only: a bed is planted or it is not. These three cells are the only cells Solver changes.</t>
  </si>
  <si>
    <t>Lower bound</t>
  </si>
  <si>
    <t>Upper bound</t>
  </si>
  <si>
    <t>TOM_BEDS</t>
  </si>
  <si>
    <t>beds, integer</t>
  </si>
  <si>
    <t>CAR_BEDS</t>
  </si>
  <si>
    <t>MES_BEDS</t>
  </si>
  <si>
    <t>Derived rates — never entered as constants (spec §1, §3C)</t>
  </si>
  <si>
    <t>Formula</t>
  </si>
  <si>
    <t>PERM_RATE</t>
  </si>
  <si>
    <t>$ per hour</t>
  </si>
  <si>
    <t>FARMER_SALARY / 2 / PERM_HOURS  (prints as 34.72; the exact quotient governs)</t>
  </si>
  <si>
    <t>TEMP_RATE</t>
  </si>
  <si>
    <t>TEMP_WORKER_PAY / TEMP_WORKER_HRS  (prints as 17.36; the exact quotient governs)</t>
  </si>
  <si>
    <t>Cost / Marginal Analysis — three standalone schedules</t>
  </si>
  <si>
    <t>One schedule per crop, each built as though that crop were the only thing planted and each drawing on the full 720 permanent hours by itself (spec Convention 5). MC(q) is per crop: the labor cost of that crop's qth bed plus one bed of fertilizer. It excludes FIXED_COST.</t>
  </si>
  <si>
    <t>Permanent hours are consumed first, one bed at a time, so a single bed can be split across both rates (spec §3F). The Decision column implements the crossing rule of V7: the schedule stops at the FIRST bed whose marginal cost exceeds price and stays stopped, whatever MC does further down the column.</t>
  </si>
  <si>
    <t>TOMATOES — standalone schedule (q = 0 to TOM_CAP)</t>
  </si>
  <si>
    <t>q (beds)</t>
  </si>
  <si>
    <t>LABOR_HRS(q)</t>
  </si>
  <si>
    <t>MARGINAL_HRS(q)</t>
  </si>
  <si>
    <t>PERM_HRS(q)</t>
  </si>
  <si>
    <t>TEMP_HRS(q)</t>
  </si>
  <si>
    <t>Fertilizer, 1 bed</t>
  </si>
  <si>
    <t>MC(q)</t>
  </si>
  <si>
    <t>Price per bed</t>
  </si>
  <si>
    <t>P - MC(q)</t>
  </si>
  <si>
    <t>Decision (V7)</t>
  </si>
  <si>
    <t>Dip flag</t>
  </si>
  <si>
    <t>CARROTS — standalone schedule (q = 0 to CAR_CAP, plus bed 21 past the cap: its P − MC is the cap's shadow price)</t>
  </si>
  <si>
    <t>MESCLUN — standalone schedule (q = 0 to MES_CAP, plus bed 31 past the cap: its P − MC is the cap's shadow price)</t>
  </si>
  <si>
    <t>Standalone crossing points and the tomato dip</t>
  </si>
  <si>
    <t>Output</t>
  </si>
  <si>
    <t>Definition</t>
  </si>
  <si>
    <t>OUT_CROSSING_TOM</t>
  </si>
  <si>
    <t>Beds planted before the first bed whose MC exceeds price (V7)</t>
  </si>
  <si>
    <t>OUT_CROSSING_CAR</t>
  </si>
  <si>
    <t>OUT_CROSSING_MES</t>
  </si>
  <si>
    <t>OUT_TOM_DIP_BED</t>
  </si>
  <si>
    <t>bed</t>
  </si>
  <si>
    <t>First tomato bed whose marginal cost falls below the bed before it. Reported, not explained.</t>
  </si>
  <si>
    <t>OUT_TOM_DIP_SIZE</t>
  </si>
  <si>
    <t>$</t>
  </si>
  <si>
    <t>Size of that fall, in dollars.</t>
  </si>
  <si>
    <t>Optimization — season profit at the current bed counts</t>
  </si>
  <si>
    <t>Everything here is driven by TOM_BEDS / CAR_BEDS / MES_BEDS on the Inputs sheet. Season profit in OUT_SEASON_PROFIT is the Solver objective.</t>
  </si>
  <si>
    <t>The decision</t>
  </si>
  <si>
    <t>What it reports</t>
  </si>
  <si>
    <t>OUT_TOM_BEDS</t>
  </si>
  <si>
    <t>Optimal tomato beds</t>
  </si>
  <si>
    <t>OUT_CAR_BEDS</t>
  </si>
  <si>
    <t>Optimal carrot beds</t>
  </si>
  <si>
    <t>OUT_MES_BEDS</t>
  </si>
  <si>
    <t>Optimal mesclun beds</t>
  </si>
  <si>
    <t>OUT_BEDS_USED</t>
  </si>
  <si>
    <t>Total beds planted</t>
  </si>
  <si>
    <t>OUT_BEDS_IDLE</t>
  </si>
  <si>
    <t>FARM_BED_CAP less beds planted</t>
  </si>
  <si>
    <t>Labor</t>
  </si>
  <si>
    <t>Tomato field hours</t>
  </si>
  <si>
    <t>hours</t>
  </si>
  <si>
    <t>LABOR_HRS(q) = q x HRS_PER_WEEK_PER_BED x WEEKS x (1 + DIM_PCT)^q</t>
  </si>
  <si>
    <t>Carrot field hours</t>
  </si>
  <si>
    <t>Mesclun field hours</t>
  </si>
  <si>
    <t>OUT_TOTAL_HOURS</t>
  </si>
  <si>
    <t>Total field hours required (TOTAL_LABOR / TOTAL_LABOR_HOURS)</t>
  </si>
  <si>
    <t>OUT_PERM_HOURS</t>
  </si>
  <si>
    <t>Hours worked by the farmer — her hours are used first</t>
  </si>
  <si>
    <t>OUT_TEMP_HOURS</t>
  </si>
  <si>
    <t>Hours worked by temporary labor</t>
  </si>
  <si>
    <t>OUT_TEMP_WORKERS</t>
  </si>
  <si>
    <t>Temps are hired by the season: a worker needed for one hour is a worker hired</t>
  </si>
  <si>
    <t>Permanent labor cost</t>
  </si>
  <si>
    <t>Only the field half of FARMER_SALARY is charged (spec Convention 2)</t>
  </si>
  <si>
    <t>Temporary labor cost</t>
  </si>
  <si>
    <t>Charged per hour worked, not per whole seasonal contract (spec Convention 3)</t>
  </si>
  <si>
    <t>OUT_BLENDED_RATE</t>
  </si>
  <si>
    <t>Total labor dollars / total labor hours. Used only for the per-crop P&amp;L (spec §3H).</t>
  </si>
  <si>
    <t>Money</t>
  </si>
  <si>
    <t>OUT_REVENUE</t>
  </si>
  <si>
    <t>Total season revenue</t>
  </si>
  <si>
    <t>OUT_LABOR_COST</t>
  </si>
  <si>
    <t>Permanent plus temporary labor</t>
  </si>
  <si>
    <t>OUT_FERT_COST</t>
  </si>
  <si>
    <t>Fertilizer, all crops</t>
  </si>
  <si>
    <t>OUT_FIXED_COST</t>
  </si>
  <si>
    <t>Fixed cost — not allocated to crops, not in MC(q)</t>
  </si>
  <si>
    <t>OUT_TOTAL_COST</t>
  </si>
  <si>
    <t>All three added</t>
  </si>
  <si>
    <t>OUT_SEASON_PROFIT</t>
  </si>
  <si>
    <t>Revenue less total cost — the Solver objective</t>
  </si>
  <si>
    <t>Per-crop P&amp;L — labor allocated at OUT_BLENDED_RATE (spec §3H)</t>
  </si>
  <si>
    <t>No crop hires the temporary workers; the season does. Because the blended rate is total labor dollars divided by total labor hours, the three crop labor costs add back to OUT_LABOR_COST exactly.</t>
  </si>
  <si>
    <t>Crop</t>
  </si>
  <si>
    <t>Field hours</t>
  </si>
  <si>
    <t>OUT_CROP_REVENUE</t>
  </si>
  <si>
    <t>OUT_CROP_FERT_COST</t>
  </si>
  <si>
    <t>OUT_CROP_LABOR_COST</t>
  </si>
  <si>
    <t>OUT_CROP_PROFIT</t>
  </si>
  <si>
    <t>Tomatoes</t>
  </si>
  <si>
    <t>Carrots</t>
  </si>
  <si>
    <t>Mesclun</t>
  </si>
  <si>
    <t>Total</t>
  </si>
  <si>
    <t>Less OUT_FIXED_COST</t>
  </si>
  <si>
    <t>Reconciles to OUT_SEASON_PROFIT</t>
  </si>
  <si>
    <t>OUT_PNL_RECONCILES</t>
  </si>
  <si>
    <t>OK when the three crop labor costs sum to OUT_LABOR_COST and the three crop profits less OUT_FIXED_COST equal OUT_SEASON_PROFIT.</t>
  </si>
  <si>
    <t>Solver setup (V6)</t>
  </si>
  <si>
    <t>Engine</t>
  </si>
  <si>
    <t>GRG Nonlinear, with integer decision variables</t>
  </si>
  <si>
    <t>Objective</t>
  </si>
  <si>
    <t>Maximize OUT_SEASON_PROFIT (Optimization!$B$32)</t>
  </si>
  <si>
    <t>By changing</t>
  </si>
  <si>
    <t>TOM_BEDS, CAR_BEDS, MES_BEDS (Inputs!$B$36:$B$38)</t>
  </si>
  <si>
    <t>Constraint 1</t>
  </si>
  <si>
    <t>TOM_BEDS &lt;= TOM_CAP  (20)</t>
  </si>
  <si>
    <t>Constraint 2</t>
  </si>
  <si>
    <t>CAR_BEDS &lt;= CAR_CAP  (20)</t>
  </si>
  <si>
    <t>Constraint 3</t>
  </si>
  <si>
    <t>MES_BEDS &lt;= MES_CAP  (30)</t>
  </si>
  <si>
    <t>Constraint 4</t>
  </si>
  <si>
    <t>OUT_BEDS_USED &lt;= FARM_BED_CAP  (64)</t>
  </si>
  <si>
    <t>Constraint 5</t>
  </si>
  <si>
    <t>OUT_TEMP_WORKERS &lt;= TEMP_WORKERS_MAX  (4)</t>
  </si>
  <si>
    <t>Constraint 6</t>
  </si>
  <si>
    <t>TOM_BEDS, CAR_BEDS, MES_BEDS = integer</t>
  </si>
  <si>
    <t>Constraint 7</t>
  </si>
  <si>
    <t>TOM_BEDS, CAR_BEDS, MES_BEDS &gt;= 0</t>
  </si>
  <si>
    <t>Not a constraint</t>
  </si>
  <si>
    <t>The farmer's 720 hours. She works them or she does not; what is beyond them is hired.</t>
  </si>
  <si>
    <t>Run it twice</t>
  </si>
  <si>
    <t>From 0/0/0 and from 15/0/0 (V3). Both starts are feasible and both are far from the answer: 15/0/0 needs 5,639 hours and exactly four temps.</t>
  </si>
  <si>
    <t>Validation</t>
  </si>
  <si>
    <t>Every check below is computed in this workbook and displays OK or VIOLATED — no other wording, so a failed check is visible at a glance rather than read for.</t>
  </si>
  <si>
    <t>The constraints (V5 — 'all constraints satisfied')</t>
  </si>
  <si>
    <t>Constraint</t>
  </si>
  <si>
    <t>Check</t>
  </si>
  <si>
    <t>Rule</t>
  </si>
  <si>
    <t>Note</t>
  </si>
  <si>
    <t>Tomato bed cap</t>
  </si>
  <si>
    <t>TOM_BEDS &lt;= TOM_CAP (20)</t>
  </si>
  <si>
    <t>Carrot bed cap</t>
  </si>
  <si>
    <t>CAR_BEDS &lt;= CAR_CAP (20)</t>
  </si>
  <si>
    <t>Mesclun bed cap</t>
  </si>
  <si>
    <t>MES_BEDS &lt;= MES_CAP (30)</t>
  </si>
  <si>
    <t>Farm bed cap</t>
  </si>
  <si>
    <t>TOM_BEDS + CAR_BEDS + MES_BEDS &lt;= FARM_BED_CAP (64)</t>
  </si>
  <si>
    <t>Temporary workers</t>
  </si>
  <si>
    <t>OUT_TEMP_WORKERS &lt;= TEMP_WORKERS_MAX (4). The constraint is on whole workers, not hours.</t>
  </si>
  <si>
    <t>Whole beds</t>
  </si>
  <si>
    <t>All three bed counts are integers</t>
  </si>
  <si>
    <t>Non-negative</t>
  </si>
  <si>
    <t>All three bed counts are &gt;= 0</t>
  </si>
  <si>
    <t>OUT_CONSTRAINTS_OK</t>
  </si>
  <si>
    <t>OK only when every constraint check above reads OK.</t>
  </si>
  <si>
    <t>V1 — Hand check, one tomato bed</t>
  </si>
  <si>
    <t>Item</t>
  </si>
  <si>
    <t>Check / value</t>
  </si>
  <si>
    <t>Expected</t>
  </si>
  <si>
    <t>Model, LABOR_HRS at q = 1 (tomato)</t>
  </si>
  <si>
    <t>1 x 2.5 x 36 x 1.10 = 99 hours, computed by hand.</t>
  </si>
  <si>
    <t>V1 check</t>
  </si>
  <si>
    <t>Would catch a dropped (1 + dim)^q term: without the exponent the same cell returns 90 hours.</t>
  </si>
  <si>
    <t>V2 — Mid-schedule hand check</t>
  </si>
  <si>
    <t>Taken from the middle of a schedule, not from either end: an endpoint can agree by accident where the interior cannot. V1 checks the hours function at q = 1, where 99 hours is easy to see; this checks the cost of a bed ten rows down, where the permanent hours are long gone and every term of MC(q) is in play. Work the arithmetic yourself from the case table and enter the result in the shaded cell; the check is a formula. Copying the figure out of the model defeats the check.</t>
  </si>
  <si>
    <t>This model, MC of tomato bed 10</t>
  </si>
  <si>
    <t>Spec V2 detail: this model returns $8,249.</t>
  </si>
  <si>
    <t>Hand-computed, MC of tomato bed 10  &lt;- ENTER OBSERVED</t>
  </si>
  <si>
    <t>Observed input, not a calculated cell. Left empty until the arithmetic is done; the check below reads VIOLATED while it is empty. LABOR_HRS(10) - LABOR_HRS(9) = 424.4306 hours, all of it temporary, at TEMP_RATE, plus one bed of fertilizer.</t>
  </si>
  <si>
    <t>V2 check</t>
  </si>
  <si>
    <t>Must agree to the dollar.</t>
  </si>
  <si>
    <t>V3 — Solver from two starting points</t>
  </si>
  <si>
    <t>Run Solver from 0/0/0 and again from 15/0/0 and record the season profit each run reports. Both runs have to agree on season profit; they do not have to arrive by the same route. If the profit differs, one of them found a local optimum and the result is not the answer.</t>
  </si>
  <si>
    <t>Season profit from start 0/0/0  &lt;- ENTER OBSERVED</t>
  </si>
  <si>
    <t>Season profit from start 15/0/0  &lt;- ENTER OBSERVED</t>
  </si>
  <si>
    <t>Both start points must be feasible: an infeasible start returns no profit figure, and this check cannot pass without one. 20/0/0 was the earlier choice and is infeasible - 12,109 hours, about eight temp workers against a cap of four - and every single-bed neighbour of it is infeasible too, so Solver has no route out. 15/0/0 is the nearest tomato-only start that fits the four-worker cap, and it is thirty hill-climb steps from the answer.</t>
  </si>
  <si>
    <t>V3 check</t>
  </si>
  <si>
    <t>Both runs agree on season profit to the dollar.</t>
  </si>
  <si>
    <t>V4 — Acceptance criteria</t>
  </si>
  <si>
    <t>Result</t>
  </si>
  <si>
    <t>Required</t>
  </si>
  <si>
    <t>Optimal mix</t>
  </si>
  <si>
    <t>10 tomatoes / 20 carrots / 30 mesclun</t>
  </si>
  <si>
    <t>Season profit</t>
  </si>
  <si>
    <t>Rounds to $42,762 and does not exceed it</t>
  </si>
  <si>
    <t>Standalone P = MC points</t>
  </si>
  <si>
    <t>Tomatoes 10 / Carrots 10 / Mesclun 6 — exact bed counts, no tolerance</t>
  </si>
  <si>
    <t>V5 — Integrity</t>
  </si>
  <si>
    <t>No spreadsheet errors</t>
  </si>
  <si>
    <t>Zero error cells across the schedules and the optimization block</t>
  </si>
  <si>
    <t>All constraints satisfied</t>
  </si>
  <si>
    <t>OUT_CONSTRAINTS_OK reads OK</t>
  </si>
  <si>
    <t>Per-crop P&amp;L reconciles</t>
  </si>
  <si>
    <t>Crop labor costs sum to OUT_LABOR_COST; crop profits less fixed cost equal season profit</t>
  </si>
  <si>
    <t>Rates derived, not typed</t>
  </si>
  <si>
    <t>Exact quotients, not the printed $34.72 / $17.36</t>
  </si>
  <si>
    <t>Typing the printed values returns a season profit of $42,768 against a check figure of $42,762.</t>
  </si>
  <si>
    <t>V7 — The crossing rule</t>
  </si>
  <si>
    <t>Tomatoes — Plant block never restarts</t>
  </si>
  <si>
    <t>Every Plant precedes every Stop — the block starts at bed 1 and never restarts</t>
  </si>
  <si>
    <t>Carrots — Plant block never restarts</t>
  </si>
  <si>
    <t>Catches the first build's defect: Plant 1-10, Stop 11-16, then Plant again 17-20. A per-bed label reports no crossing point at all.</t>
  </si>
  <si>
    <t>Mesclun — Plant block never restarts</t>
  </si>
  <si>
    <t>Mesclun stopped at 6 and came back under price at 14; it stays stopped.</t>
  </si>
  <si>
    <t>Reported, not explained (spec §5)</t>
  </si>
  <si>
    <t>Locating the dip is this stage's job; accounting for it is Stage 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</si>
</sst>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000"/>
    <numFmt numFmtId="166" formatCode="#,##0.0000"/>
    <numFmt numFmtId="167" formatCode="#,##0.00;[Red]\-#,##0.00"/>
  </numFmts>
  <fonts count="6" x14ac:knownFonts="1">
    <font>
      <sz val="11"/>
      <color theme="1"/>
      <name val="Calibri"/>
      <family val="2"/>
      <scheme val="minor"/>
    </font>
    <font>
      <b/>
      <sz val="14"/>
      <color rgb="FF1F3864"/>
      <name val="Calibri"/>
      <family val="2"/>
    </font>
    <font>
      <i/>
      <sz val="9"/>
      <color rgb="FF595959"/>
      <name val="Calibri"/>
      <family val="2"/>
    </font>
    <font>
      <b/>
      <sz val="11"/>
      <color rgb="FF1F3864"/>
      <name val="Calibri"/>
      <family val="2"/>
    </font>
    <font>
      <b/>
      <sz val="10"/>
      <color rgb="FFFFFFFF"/>
      <name val="Calibri"/>
      <family val="2"/>
    </font>
    <font>
      <b/>
      <sz val="11"/>
      <name val="Calibri"/>
      <family val="2"/>
    </font>
  </fonts>
  <fills count="7">
    <fill>
      <patternFill patternType="none"/>
    </fill>
    <fill>
      <patternFill patternType="gray125"/>
    </fill>
    <fill>
      <patternFill patternType="solid">
        <fgColor rgb="FF1F3864"/>
      </patternFill>
    </fill>
    <fill>
      <patternFill patternType="solid">
        <fgColor rgb="FFFFF2CC"/>
      </patternFill>
    </fill>
    <fill>
      <patternFill patternType="solid">
        <fgColor rgb="FFD9EAD3"/>
      </patternFill>
    </fill>
    <fill>
      <patternFill patternType="solid">
        <fgColor rgb="FFE8F0FE"/>
      </patternFill>
    </fill>
    <fill>
      <patternFill patternType="solid">
        <fgColor rgb="FFFFE5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4">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0" xfId="0" applyFont="1"/>
    <xf numFmtId="3" fontId="0" fillId="3" borderId="1" xfId="0" applyNumberFormat="1" applyFill="1" applyBorder="1"/>
    <xf numFmtId="164" fontId="0" fillId="3" borderId="1" xfId="0" applyNumberFormat="1" applyFill="1" applyBorder="1"/>
    <xf numFmtId="4" fontId="0" fillId="3" borderId="1" xfId="0" applyNumberFormat="1" applyFill="1" applyBorder="1"/>
    <xf numFmtId="165" fontId="0" fillId="3" borderId="1" xfId="0" applyNumberFormat="1" applyFill="1" applyBorder="1"/>
    <xf numFmtId="166" fontId="0" fillId="3" borderId="1" xfId="0" applyNumberFormat="1" applyFill="1" applyBorder="1"/>
    <xf numFmtId="3" fontId="0" fillId="4" borderId="1" xfId="0" applyNumberFormat="1" applyFill="1" applyBorder="1"/>
    <xf numFmtId="3" fontId="0" fillId="0" borderId="0" xfId="0" applyNumberFormat="1"/>
    <xf numFmtId="166" fontId="0" fillId="5" borderId="1" xfId="0" applyNumberFormat="1" applyFill="1" applyBorder="1"/>
    <xf numFmtId="3" fontId="0" fillId="0" borderId="1" xfId="0" applyNumberFormat="1" applyBorder="1"/>
    <xf numFmtId="4" fontId="0" fillId="0" borderId="1" xfId="0" applyNumberFormat="1" applyBorder="1"/>
    <xf numFmtId="0" fontId="0" fillId="0" borderId="1" xfId="0" applyBorder="1"/>
    <xf numFmtId="167" fontId="0" fillId="0" borderId="1" xfId="0" applyNumberFormat="1" applyBorder="1"/>
    <xf numFmtId="0" fontId="0" fillId="0" borderId="1" xfId="0" applyBorder="1" applyAlignment="1">
      <alignment horizontal="center"/>
    </xf>
    <xf numFmtId="1" fontId="0" fillId="0" borderId="1" xfId="0" applyNumberFormat="1" applyBorder="1"/>
    <xf numFmtId="3" fontId="0" fillId="5" borderId="1" xfId="0" applyNumberFormat="1" applyFill="1" applyBorder="1"/>
    <xf numFmtId="167" fontId="0" fillId="5" borderId="1" xfId="0" applyNumberFormat="1" applyFill="1" applyBorder="1"/>
    <xf numFmtId="4" fontId="0" fillId="5" borderId="1" xfId="0" applyNumberFormat="1" applyFill="1" applyBorder="1"/>
    <xf numFmtId="167" fontId="0" fillId="6" borderId="1" xfId="0" applyNumberFormat="1" applyFill="1" applyBorder="1"/>
    <xf numFmtId="0" fontId="5" fillId="0" borderId="1" xfId="0" applyFont="1" applyBorder="1"/>
    <xf numFmtId="3" fontId="5" fillId="0" borderId="1" xfId="0" applyNumberFormat="1" applyFont="1" applyBorder="1"/>
    <xf numFmtId="4" fontId="5" fillId="0" borderId="1" xfId="0" applyNumberFormat="1" applyFont="1" applyBorder="1"/>
    <xf numFmtId="167" fontId="5" fillId="0" borderId="1" xfId="0" applyNumberFormat="1" applyFont="1" applyBorder="1"/>
    <xf numFmtId="167" fontId="5" fillId="5" borderId="1" xfId="0" applyNumberFormat="1" applyFont="1" applyFill="1" applyBorder="1"/>
    <xf numFmtId="0" fontId="0" fillId="5" borderId="1" xfId="0" applyFill="1" applyBorder="1" applyAlignment="1">
      <alignment horizontal="center"/>
    </xf>
    <xf numFmtId="0" fontId="5" fillId="0" borderId="1" xfId="0" applyFont="1" applyBorder="1" applyAlignment="1">
      <alignment horizontal="center"/>
    </xf>
    <xf numFmtId="0" fontId="5" fillId="5" borderId="1" xfId="0" applyFont="1" applyFill="1" applyBorder="1" applyAlignment="1">
      <alignment horizontal="center"/>
    </xf>
    <xf numFmtId="4" fontId="0" fillId="0" borderId="0" xfId="0" applyNumberFormat="1"/>
    <xf numFmtId="167" fontId="0" fillId="3" borderId="1" xfId="0" applyNumberFormat="1" applyFill="1" applyBorder="1"/>
  </cellXfs>
  <cellStyles count="1">
    <cellStyle name="Normal" xfId="0" builtinId="0"/>
  </cellStyles>
  <dxfs count="22">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
      <fill>
        <patternFill patternType="solid">
          <fgColor rgb="FFF4CCCC"/>
        </patternFill>
      </fill>
    </dxf>
    <dxf>
      <fill>
        <patternFill patternType="solid">
          <fgColor rgb="FFD9EAD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E962BA6-61C6-EF44-9F99-A7A7729F3725}">
  <we:reference id="wa104100404" version="3.0.0.1" store="en-US" storeType="OMEX"/>
  <we:alternateReferences>
    <we:reference id="WA104100404" version="3.0.0.1" store="" storeType="OMEX"/>
  </we:alternateReferences>
  <we:properties>
    <we:property name="UniqueID" value="&quot;2026881788937022073&quot;"/>
  </we:properties>
  <we:bindings/>
  <we:snapshot xmlns:r="http://schemas.openxmlformats.org/officeDocument/2006/relationships"/>
</we:webextension>
</file>

<file path=xl/webextensions/webextension2.xml><?xml version="1.0" encoding="utf-8"?>
<we:webextension xmlns:we="http://schemas.microsoft.com/office/webextensions/webextension/2010/11" id="{A8BECCF5-EF89-D04B-9FCC-5C39D09625CB}">
  <we:reference id="wa200009404" version="1.0.0.8" store="en-US" storeType="OMEX"/>
  <we:alternateReferences>
    <we:reference id="WA200009404" version="1.0.0.8" store="" storeType="OMEX"/>
  </we:alternateReferences>
  <we:properties>
    <we:property name="claude.fileId" value="&quot;42bbc2aa-c277-420d-9493-f383969cef58&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3"/>
  <sheetViews>
    <sheetView workbookViewId="0"/>
  </sheetViews>
  <sheetFormatPr baseColWidth="10" defaultColWidth="8.83203125" defaultRowHeight="15" x14ac:dyDescent="0.2"/>
  <cols>
    <col min="1" max="1" width="20" customWidth="1"/>
    <col min="2" max="2" width="14" customWidth="1"/>
    <col min="3" max="3" width="26" customWidth="1"/>
    <col min="4" max="4" width="78" customWidth="1"/>
    <col min="5" max="5" width="14" customWidth="1"/>
  </cols>
  <sheetData>
    <row r="1" spans="1:4" ht="19" x14ac:dyDescent="0.25">
      <c r="A1" s="1" t="s">
        <v>0</v>
      </c>
    </row>
    <row r="2" spans="1:4" x14ac:dyDescent="0.2">
      <c r="A2" s="2" t="s">
        <v>1</v>
      </c>
    </row>
    <row r="4" spans="1:4" x14ac:dyDescent="0.2">
      <c r="A4" s="3" t="s">
        <v>2</v>
      </c>
    </row>
    <row r="5" spans="1:4" x14ac:dyDescent="0.2">
      <c r="A5" s="4" t="s">
        <v>3</v>
      </c>
      <c r="B5" s="4" t="s">
        <v>4</v>
      </c>
      <c r="C5" s="4" t="s">
        <v>5</v>
      </c>
      <c r="D5" s="4" t="s">
        <v>6</v>
      </c>
    </row>
    <row r="6" spans="1:4" x14ac:dyDescent="0.2">
      <c r="A6" s="5" t="s">
        <v>7</v>
      </c>
      <c r="B6" s="6">
        <v>36</v>
      </c>
      <c r="C6" t="s">
        <v>8</v>
      </c>
      <c r="D6" s="2" t="s">
        <v>9</v>
      </c>
    </row>
    <row r="7" spans="1:4" x14ac:dyDescent="0.2">
      <c r="A7" s="5" t="s">
        <v>10</v>
      </c>
      <c r="B7" s="6">
        <v>720</v>
      </c>
      <c r="C7" t="s">
        <v>11</v>
      </c>
      <c r="D7" s="2" t="s">
        <v>12</v>
      </c>
    </row>
    <row r="8" spans="1:4" x14ac:dyDescent="0.2">
      <c r="A8" s="5" t="s">
        <v>13</v>
      </c>
      <c r="B8" s="7">
        <v>50000</v>
      </c>
      <c r="C8" t="s">
        <v>14</v>
      </c>
      <c r="D8" s="2" t="s">
        <v>15</v>
      </c>
    </row>
    <row r="9" spans="1:4" x14ac:dyDescent="0.2">
      <c r="A9" s="5" t="s">
        <v>16</v>
      </c>
      <c r="B9" s="7">
        <v>25000</v>
      </c>
      <c r="C9" t="s">
        <v>17</v>
      </c>
      <c r="D9" s="2" t="s">
        <v>15</v>
      </c>
    </row>
    <row r="10" spans="1:4" x14ac:dyDescent="0.2">
      <c r="A10" s="5" t="s">
        <v>18</v>
      </c>
      <c r="B10" s="6">
        <v>1440</v>
      </c>
      <c r="C10" t="s">
        <v>19</v>
      </c>
      <c r="D10" s="2" t="s">
        <v>15</v>
      </c>
    </row>
    <row r="11" spans="1:4" x14ac:dyDescent="0.2">
      <c r="A11" s="5" t="s">
        <v>20</v>
      </c>
      <c r="B11" s="6">
        <v>4</v>
      </c>
      <c r="C11" t="s">
        <v>21</v>
      </c>
      <c r="D11" s="2" t="s">
        <v>22</v>
      </c>
    </row>
    <row r="12" spans="1:4" x14ac:dyDescent="0.2">
      <c r="A12" s="5" t="s">
        <v>23</v>
      </c>
      <c r="B12" s="7">
        <v>20000</v>
      </c>
      <c r="C12" t="s">
        <v>14</v>
      </c>
      <c r="D12" s="2" t="s">
        <v>15</v>
      </c>
    </row>
    <row r="13" spans="1:4" x14ac:dyDescent="0.2">
      <c r="A13" s="5" t="s">
        <v>24</v>
      </c>
      <c r="B13" s="6">
        <v>64</v>
      </c>
      <c r="C13" t="s">
        <v>25</v>
      </c>
      <c r="D13" s="2" t="s">
        <v>26</v>
      </c>
    </row>
    <row r="15" spans="1:4" x14ac:dyDescent="0.2">
      <c r="A15" s="3" t="s">
        <v>27</v>
      </c>
    </row>
    <row r="16" spans="1:4" x14ac:dyDescent="0.2">
      <c r="A16" s="4" t="s">
        <v>3</v>
      </c>
      <c r="B16" s="4" t="s">
        <v>4</v>
      </c>
      <c r="C16" s="4" t="s">
        <v>5</v>
      </c>
      <c r="D16" s="4" t="s">
        <v>6</v>
      </c>
    </row>
    <row r="17" spans="1:4" x14ac:dyDescent="0.2">
      <c r="A17" s="5" t="s">
        <v>28</v>
      </c>
      <c r="B17" s="8">
        <v>2.5</v>
      </c>
      <c r="C17" t="s">
        <v>29</v>
      </c>
      <c r="D17" s="2" t="s">
        <v>30</v>
      </c>
    </row>
    <row r="18" spans="1:4" x14ac:dyDescent="0.2">
      <c r="A18" s="5" t="s">
        <v>31</v>
      </c>
      <c r="B18" s="9">
        <v>0.1</v>
      </c>
      <c r="C18" t="s">
        <v>32</v>
      </c>
      <c r="D18" s="2" t="s">
        <v>30</v>
      </c>
    </row>
    <row r="19" spans="1:4" x14ac:dyDescent="0.2">
      <c r="A19" s="5" t="s">
        <v>33</v>
      </c>
      <c r="B19" s="7">
        <v>880</v>
      </c>
      <c r="C19" t="s">
        <v>34</v>
      </c>
      <c r="D19" s="2" t="s">
        <v>30</v>
      </c>
    </row>
    <row r="20" spans="1:4" x14ac:dyDescent="0.2">
      <c r="A20" s="5" t="s">
        <v>35</v>
      </c>
      <c r="B20" s="7">
        <v>8800</v>
      </c>
      <c r="C20" t="s">
        <v>34</v>
      </c>
      <c r="D20" s="2" t="s">
        <v>30</v>
      </c>
    </row>
    <row r="21" spans="1:4" x14ac:dyDescent="0.2">
      <c r="A21" s="5" t="s">
        <v>36</v>
      </c>
      <c r="B21" s="6">
        <v>20</v>
      </c>
      <c r="C21" t="s">
        <v>25</v>
      </c>
      <c r="D21" s="2" t="s">
        <v>30</v>
      </c>
    </row>
    <row r="22" spans="1:4" x14ac:dyDescent="0.2">
      <c r="A22" s="5" t="s">
        <v>37</v>
      </c>
      <c r="B22" s="10">
        <f>5/6</f>
        <v>0.83333333333333337</v>
      </c>
      <c r="C22" t="s">
        <v>29</v>
      </c>
      <c r="D22" s="2" t="s">
        <v>38</v>
      </c>
    </row>
    <row r="23" spans="1:4" x14ac:dyDescent="0.2">
      <c r="A23" s="5" t="s">
        <v>39</v>
      </c>
      <c r="B23" s="9">
        <v>2.5000000000000001E-2</v>
      </c>
      <c r="C23" t="s">
        <v>32</v>
      </c>
      <c r="D23" s="2" t="s">
        <v>30</v>
      </c>
    </row>
    <row r="24" spans="1:4" x14ac:dyDescent="0.2">
      <c r="A24" s="5" t="s">
        <v>40</v>
      </c>
      <c r="B24" s="7">
        <v>440</v>
      </c>
      <c r="C24" t="s">
        <v>34</v>
      </c>
      <c r="D24" s="2" t="s">
        <v>30</v>
      </c>
    </row>
    <row r="25" spans="1:4" x14ac:dyDescent="0.2">
      <c r="A25" s="5" t="s">
        <v>41</v>
      </c>
      <c r="B25" s="7">
        <v>2094</v>
      </c>
      <c r="C25" t="s">
        <v>34</v>
      </c>
      <c r="D25" s="2" t="s">
        <v>30</v>
      </c>
    </row>
    <row r="26" spans="1:4" x14ac:dyDescent="0.2">
      <c r="A26" s="5" t="s">
        <v>42</v>
      </c>
      <c r="B26" s="6">
        <v>20</v>
      </c>
      <c r="C26" t="s">
        <v>25</v>
      </c>
      <c r="D26" s="2" t="s">
        <v>30</v>
      </c>
    </row>
    <row r="27" spans="1:4" x14ac:dyDescent="0.2">
      <c r="A27" s="5" t="s">
        <v>43</v>
      </c>
      <c r="B27" s="8">
        <v>1.25</v>
      </c>
      <c r="C27" t="s">
        <v>29</v>
      </c>
      <c r="D27" s="2" t="s">
        <v>30</v>
      </c>
    </row>
    <row r="28" spans="1:4" x14ac:dyDescent="0.2">
      <c r="A28" s="5" t="s">
        <v>44</v>
      </c>
      <c r="B28" s="9">
        <v>1.2500000000000001E-2</v>
      </c>
      <c r="C28" t="s">
        <v>32</v>
      </c>
      <c r="D28" s="2" t="s">
        <v>30</v>
      </c>
    </row>
    <row r="29" spans="1:4" x14ac:dyDescent="0.2">
      <c r="A29" s="5" t="s">
        <v>45</v>
      </c>
      <c r="B29" s="7">
        <v>880</v>
      </c>
      <c r="C29" t="s">
        <v>34</v>
      </c>
      <c r="D29" s="2" t="s">
        <v>30</v>
      </c>
    </row>
    <row r="30" spans="1:4" x14ac:dyDescent="0.2">
      <c r="A30" s="5" t="s">
        <v>46</v>
      </c>
      <c r="B30" s="7">
        <v>2700</v>
      </c>
      <c r="C30" t="s">
        <v>34</v>
      </c>
      <c r="D30" s="2" t="s">
        <v>30</v>
      </c>
    </row>
    <row r="31" spans="1:4" x14ac:dyDescent="0.2">
      <c r="A31" s="5" t="s">
        <v>47</v>
      </c>
      <c r="B31" s="6">
        <v>30</v>
      </c>
      <c r="C31" t="s">
        <v>25</v>
      </c>
      <c r="D31" s="2" t="s">
        <v>30</v>
      </c>
    </row>
    <row r="33" spans="1:5" x14ac:dyDescent="0.2">
      <c r="A33" s="3" t="s">
        <v>48</v>
      </c>
    </row>
    <row r="34" spans="1:5" x14ac:dyDescent="0.2">
      <c r="A34" s="2" t="s">
        <v>49</v>
      </c>
    </row>
    <row r="35" spans="1:5" x14ac:dyDescent="0.2">
      <c r="A35" s="4" t="s">
        <v>3</v>
      </c>
      <c r="B35" s="4" t="s">
        <v>4</v>
      </c>
      <c r="C35" s="4" t="s">
        <v>5</v>
      </c>
      <c r="D35" s="4" t="s">
        <v>50</v>
      </c>
      <c r="E35" s="4" t="s">
        <v>51</v>
      </c>
    </row>
    <row r="36" spans="1:5" x14ac:dyDescent="0.2">
      <c r="A36" s="5" t="s">
        <v>52</v>
      </c>
      <c r="B36" s="11">
        <v>10</v>
      </c>
      <c r="C36" t="s">
        <v>53</v>
      </c>
      <c r="D36" s="12">
        <v>0</v>
      </c>
      <c r="E36" s="12">
        <f>TOM_CAP</f>
        <v>20</v>
      </c>
    </row>
    <row r="37" spans="1:5" x14ac:dyDescent="0.2">
      <c r="A37" s="5" t="s">
        <v>54</v>
      </c>
      <c r="B37" s="11">
        <v>20</v>
      </c>
      <c r="C37" t="s">
        <v>53</v>
      </c>
      <c r="D37" s="12">
        <v>0</v>
      </c>
      <c r="E37" s="12">
        <f>CAR_CAP</f>
        <v>20</v>
      </c>
    </row>
    <row r="38" spans="1:5" x14ac:dyDescent="0.2">
      <c r="A38" s="5" t="s">
        <v>55</v>
      </c>
      <c r="B38" s="11">
        <v>30</v>
      </c>
      <c r="C38" t="s">
        <v>53</v>
      </c>
      <c r="D38" s="12">
        <v>0</v>
      </c>
      <c r="E38" s="12">
        <f>MES_CAP</f>
        <v>30</v>
      </c>
    </row>
    <row r="40" spans="1:5" x14ac:dyDescent="0.2">
      <c r="A40" s="3" t="s">
        <v>56</v>
      </c>
    </row>
    <row r="41" spans="1:5" x14ac:dyDescent="0.2">
      <c r="A41" s="4" t="s">
        <v>3</v>
      </c>
      <c r="B41" s="4" t="s">
        <v>4</v>
      </c>
      <c r="C41" s="4" t="s">
        <v>5</v>
      </c>
      <c r="D41" s="4" t="s">
        <v>57</v>
      </c>
    </row>
    <row r="42" spans="1:5" x14ac:dyDescent="0.2">
      <c r="A42" s="5" t="s">
        <v>58</v>
      </c>
      <c r="B42" s="13">
        <f>FARMER_SALARY/2/PERM_HOURS</f>
        <v>34.722222222222221</v>
      </c>
      <c r="C42" t="s">
        <v>59</v>
      </c>
      <c r="D42" s="2" t="s">
        <v>60</v>
      </c>
    </row>
    <row r="43" spans="1:5" x14ac:dyDescent="0.2">
      <c r="A43" s="5" t="s">
        <v>61</v>
      </c>
      <c r="B43" s="13">
        <f>TEMP_WORKER_PAY/TEMP_WORKER_HRS</f>
        <v>17.361111111111111</v>
      </c>
      <c r="C43" t="s">
        <v>59</v>
      </c>
      <c r="D43" s="2" t="s">
        <v>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6"/>
  <sheetViews>
    <sheetView workbookViewId="0">
      <pane ySplit="4" topLeftCell="A5" activePane="bottomLeft" state="frozen"/>
      <selection pane="bottomLeft"/>
    </sheetView>
  </sheetViews>
  <sheetFormatPr baseColWidth="10" defaultColWidth="8.83203125" defaultRowHeight="15" x14ac:dyDescent="0.2"/>
  <cols>
    <col min="1" max="1" width="11" customWidth="1"/>
    <col min="2" max="2" width="15" customWidth="1"/>
    <col min="3" max="3" width="17" customWidth="1"/>
    <col min="4" max="5" width="14" customWidth="1"/>
    <col min="6" max="6" width="15" customWidth="1"/>
    <col min="7" max="7" width="14" customWidth="1"/>
    <col min="8" max="10" width="13" customWidth="1"/>
    <col min="11" max="11" width="9" customWidth="1"/>
    <col min="12" max="12" width="17" customWidth="1"/>
    <col min="13" max="13" width="13" customWidth="1"/>
  </cols>
  <sheetData>
    <row r="1" spans="1:11" ht="19" x14ac:dyDescent="0.25">
      <c r="A1" s="1" t="s">
        <v>63</v>
      </c>
    </row>
    <row r="2" spans="1:11" x14ac:dyDescent="0.2">
      <c r="A2" s="2" t="s">
        <v>64</v>
      </c>
    </row>
    <row r="3" spans="1:11" x14ac:dyDescent="0.2">
      <c r="A3" s="2" t="s">
        <v>65</v>
      </c>
    </row>
    <row r="5" spans="1:11" x14ac:dyDescent="0.2">
      <c r="A5" s="3" t="s">
        <v>66</v>
      </c>
    </row>
    <row r="6" spans="1:13" x14ac:dyDescent="0.2">
      <c r="A6" s="4" t="s">
        <v>67</v>
      </c>
      <c r="B6" s="4" t="s">
        <v>68</v>
      </c>
      <c r="C6" s="4" t="s">
        <v>69</v>
      </c>
      <c r="D6" s="4" t="s">
        <v>70</v>
      </c>
      <c r="E6" s="4" t="s">
        <v>71</v>
      </c>
      <c r="F6" s="4" t="s">
        <v>72</v>
      </c>
      <c r="G6" s="4" t="s">
        <v>73</v>
      </c>
      <c r="H6" s="4" t="s">
        <v>74</v>
      </c>
      <c r="I6" s="4" t="s">
        <v>75</v>
      </c>
      <c r="J6" s="4" t="s">
        <v>76</v>
      </c>
      <c r="K6" s="4" t="s">
        <v>77</v>
      </c>
      <c r="L6" s="4" t="inlineStr">
        <is>
          <t>Cumulative VC(q)</t>
        </is>
      </c>
      <c r="M6" s="4" t="inlineStr">
        <is>
          <t>AVC(q)</t>
        </is>
      </c>
    </row>
    <row r="7" spans="1:11" x14ac:dyDescent="0.2">
      <c r="A7" s="14">
        <v>0</v>
      </c>
      <c r="B7" s="15">
        <f t="shared" ref="B7:B27" si="0">A7*TOM_HPB*WEEKS*(1+TOM_DIM)^A7</f>
        <v>0</v>
      </c>
      <c r="C7" s="16"/>
      <c r="D7" s="16"/>
      <c r="E7" s="16"/>
      <c r="F7" s="16"/>
      <c r="G7" s="16"/>
      <c r="H7" s="16"/>
      <c r="I7" s="16"/>
      <c r="J7" s="16"/>
      <c r="K7" s="16"/>
    </row>
    <row r="8" spans="1:13" x14ac:dyDescent="0.2">
      <c r="A8" s="14">
        <v>1</v>
      </c>
      <c r="B8" s="15">
        <f t="shared" si="0"/>
        <v>99.000000000000014</v>
      </c>
      <c r="C8" s="15">
        <f t="shared" ref="C8:C27" si="1">B8-B7</f>
        <v>99.000000000000014</v>
      </c>
      <c r="D8" s="15">
        <f t="shared" ref="D8:D27" si="2">MAX(0,MIN(C8,PERM_HOURS-B7))</f>
        <v>99.000000000000014</v>
      </c>
      <c r="E8" s="15">
        <f t="shared" ref="E8:E27" si="3">C8-D8</f>
        <v>0</v>
      </c>
      <c r="F8" s="17">
        <f t="shared" ref="F8:F27" si="4">TOM_FERT</f>
        <v>880</v>
      </c>
      <c r="G8" s="17">
        <f t="shared" ref="G8:G27" si="5">D8*PERM_RATE+E8*TEMP_RATE+F8</f>
        <v>4317.5</v>
      </c>
      <c r="H8" s="17">
        <f t="shared" ref="H8:H27" si="6">TOM_PRICE</f>
        <v>8800</v>
      </c>
      <c r="I8" s="17">
        <f t="shared" ref="I8:I27" si="7">H8-G8</f>
        <v>4482.5</v>
      </c>
      <c r="J8" s="18" t="str">
        <f>IF(COUNTIF($I$8:I8,"&lt;0")&gt;0,"Stop","Plant")</f>
        <v>Plant</v>
      </c>
      <c r="K8" s="19">
        <f t="shared" ref="K8:K27" si="8">IF(A8&lt;2,0,IF(G8&lt;G7,1,0))</f>
        <v>0</v>
      </c>
      <c r="L8" s="17">
        <f>SUM($G$8:G8)</f>
        <v>4317.5</v>
      </c>
      <c r="M8" s="17">
        <f>L8/A8</f>
        <v>4317.5</v>
      </c>
    </row>
    <row r="9" spans="1:13" x14ac:dyDescent="0.2">
      <c r="A9" s="14">
        <v>2</v>
      </c>
      <c r="B9" s="15">
        <f t="shared" si="0"/>
        <v>217.80000000000004</v>
      </c>
      <c r="C9" s="15">
        <f t="shared" si="1"/>
        <v>118.80000000000003</v>
      </c>
      <c r="D9" s="15">
        <f t="shared" si="2"/>
        <v>118.80000000000003</v>
      </c>
      <c r="E9" s="15">
        <f t="shared" si="3"/>
        <v>0</v>
      </c>
      <c r="F9" s="17">
        <f t="shared" si="4"/>
        <v>880</v>
      </c>
      <c r="G9" s="17">
        <f t="shared" si="5"/>
        <v>5005.0000000000009</v>
      </c>
      <c r="H9" s="17">
        <f t="shared" si="6"/>
        <v>8800</v>
      </c>
      <c r="I9" s="17">
        <f t="shared" si="7"/>
        <v>3794.9999999999991</v>
      </c>
      <c r="J9" s="18" t="str">
        <f>IF(COUNTIF($I$8:I9,"&lt;0")&gt;0,"Stop","Plant")</f>
        <v>Plant</v>
      </c>
      <c r="K9" s="19">
        <f t="shared" si="8"/>
        <v>0</v>
      </c>
      <c r="L9" s="17">
        <f>SUM($G$8:G9)</f>
        <v>9322.5</v>
      </c>
      <c r="M9" s="17">
        <f>L9/A9</f>
        <v>4661.25</v>
      </c>
    </row>
    <row r="10" spans="1:13" x14ac:dyDescent="0.2">
      <c r="A10" s="14">
        <v>3</v>
      </c>
      <c r="B10" s="15">
        <f t="shared" si="0"/>
        <v>359.37000000000012</v>
      </c>
      <c r="C10" s="15">
        <f t="shared" si="1"/>
        <v>141.57000000000008</v>
      </c>
      <c r="D10" s="15">
        <f t="shared" si="2"/>
        <v>141.57000000000008</v>
      </c>
      <c r="E10" s="15">
        <f t="shared" si="3"/>
        <v>0</v>
      </c>
      <c r="F10" s="17">
        <f t="shared" si="4"/>
        <v>880</v>
      </c>
      <c r="G10" s="17">
        <f t="shared" si="5"/>
        <v>5795.6250000000027</v>
      </c>
      <c r="H10" s="17">
        <f t="shared" si="6"/>
        <v>8800</v>
      </c>
      <c r="I10" s="17">
        <f t="shared" si="7"/>
        <v>3004.3749999999973</v>
      </c>
      <c r="J10" s="18" t="str">
        <f>IF(COUNTIF($I$8:I10,"&lt;0")&gt;0,"Stop","Plant")</f>
        <v>Plant</v>
      </c>
      <c r="K10" s="19">
        <f t="shared" si="8"/>
        <v>0</v>
      </c>
      <c r="L10" s="17">
        <f>SUM($G$8:G10)</f>
        <v>15118.125000000004</v>
      </c>
      <c r="M10" s="17">
        <f>L10/A10</f>
        <v>5039.375000000001</v>
      </c>
    </row>
    <row r="11" spans="1:13" x14ac:dyDescent="0.2">
      <c r="A11" s="14">
        <v>4</v>
      </c>
      <c r="B11" s="15">
        <f t="shared" si="0"/>
        <v>527.07600000000014</v>
      </c>
      <c r="C11" s="15">
        <f t="shared" si="1"/>
        <v>167.70600000000002</v>
      </c>
      <c r="D11" s="15">
        <f t="shared" si="2"/>
        <v>167.70600000000002</v>
      </c>
      <c r="E11" s="15">
        <f t="shared" si="3"/>
        <v>0</v>
      </c>
      <c r="F11" s="17">
        <f t="shared" si="4"/>
        <v>880</v>
      </c>
      <c r="G11" s="17">
        <f t="shared" si="5"/>
        <v>6703.1250000000009</v>
      </c>
      <c r="H11" s="17">
        <f t="shared" si="6"/>
        <v>8800</v>
      </c>
      <c r="I11" s="17">
        <f t="shared" si="7"/>
        <v>2096.8749999999991</v>
      </c>
      <c r="J11" s="18" t="str">
        <f>IF(COUNTIF($I$8:I11,"&lt;0")&gt;0,"Stop","Plant")</f>
        <v>Plant</v>
      </c>
      <c r="K11" s="19">
        <f t="shared" si="8"/>
        <v>0</v>
      </c>
      <c r="L11" s="17">
        <f>SUM($G$8:G11)</f>
        <v>21821.250000000004</v>
      </c>
      <c r="M11" s="17">
        <f>L11/A11</f>
        <v>5455.312500000001</v>
      </c>
    </row>
    <row r="12" spans="1:13" x14ac:dyDescent="0.2">
      <c r="A12" s="14">
        <v>5</v>
      </c>
      <c r="B12" s="15">
        <f t="shared" si="0"/>
        <v>724.72950000000026</v>
      </c>
      <c r="C12" s="15">
        <f t="shared" si="1"/>
        <v>197.65350000000012</v>
      </c>
      <c r="D12" s="15">
        <f t="shared" si="2"/>
        <v>192.92399999999986</v>
      </c>
      <c r="E12" s="15">
        <f t="shared" si="3"/>
        <v>4.7295000000002574</v>
      </c>
      <c r="F12" s="17">
        <f t="shared" si="4"/>
        <v>880</v>
      </c>
      <c r="G12" s="17">
        <f t="shared" si="5"/>
        <v>7660.859375</v>
      </c>
      <c r="H12" s="17">
        <f t="shared" si="6"/>
        <v>8800</v>
      </c>
      <c r="I12" s="17">
        <f t="shared" si="7"/>
        <v>1139.140625</v>
      </c>
      <c r="J12" s="18" t="str">
        <f>IF(COUNTIF($I$8:I12,"&lt;0")&gt;0,"Stop","Plant")</f>
        <v>Plant</v>
      </c>
      <c r="K12" s="19">
        <f t="shared" si="8"/>
        <v>0</v>
      </c>
      <c r="L12" s="17">
        <f>SUM($G$8:G12)</f>
        <v>29482.109375000004</v>
      </c>
      <c r="M12" s="17">
        <f>L12/A12</f>
        <v>5896.421875000001</v>
      </c>
    </row>
    <row r="13" spans="1:13" x14ac:dyDescent="0.2">
      <c r="A13" s="14">
        <v>6</v>
      </c>
      <c r="B13" s="15">
        <f t="shared" si="0"/>
        <v>956.64294000000041</v>
      </c>
      <c r="C13" s="15">
        <f t="shared" si="1"/>
        <v>231.91344000000015</v>
      </c>
      <c r="D13" s="15">
        <f t="shared" si="2"/>
        <v>0</v>
      </c>
      <c r="E13" s="15">
        <f t="shared" si="3"/>
        <v>231.91344000000015</v>
      </c>
      <c r="F13" s="17">
        <f t="shared" si="4"/>
        <v>880</v>
      </c>
      <c r="G13" s="17">
        <f t="shared" si="5"/>
        <v>4906.2750000000024</v>
      </c>
      <c r="H13" s="17">
        <f t="shared" si="6"/>
        <v>8800</v>
      </c>
      <c r="I13" s="17">
        <f t="shared" si="7"/>
        <v>3893.7249999999976</v>
      </c>
      <c r="J13" s="18" t="str">
        <f>IF(COUNTIF($I$8:I13,"&lt;0")&gt;0,"Stop","Plant")</f>
        <v>Plant</v>
      </c>
      <c r="K13" s="19">
        <f t="shared" si="8"/>
        <v>1</v>
      </c>
      <c r="L13" s="17">
        <f>SUM($G$8:G13)</f>
        <v>34388.38437500001</v>
      </c>
      <c r="M13" s="17">
        <f>L13/A13</f>
        <v>5731.3973958333345</v>
      </c>
    </row>
    <row r="14" spans="1:13" x14ac:dyDescent="0.2">
      <c r="A14" s="14">
        <v>7</v>
      </c>
      <c r="B14" s="15">
        <f t="shared" si="0"/>
        <v>1227.6917730000007</v>
      </c>
      <c r="C14" s="15">
        <f t="shared" si="1"/>
        <v>271.04883300000029</v>
      </c>
      <c r="D14" s="15">
        <f t="shared" si="2"/>
        <v>0</v>
      </c>
      <c r="E14" s="15">
        <f t="shared" si="3"/>
        <v>271.04883300000029</v>
      </c>
      <c r="F14" s="17">
        <f t="shared" si="4"/>
        <v>880</v>
      </c>
      <c r="G14" s="17">
        <f t="shared" si="5"/>
        <v>5585.7089062500045</v>
      </c>
      <c r="H14" s="17">
        <f t="shared" si="6"/>
        <v>8800</v>
      </c>
      <c r="I14" s="17">
        <f t="shared" si="7"/>
        <v>3214.2910937499955</v>
      </c>
      <c r="J14" s="18" t="str">
        <f>IF(COUNTIF($I$8:I14,"&lt;0")&gt;0,"Stop","Plant")</f>
        <v>Plant</v>
      </c>
      <c r="K14" s="19">
        <f t="shared" si="8"/>
        <v>0</v>
      </c>
      <c r="L14" s="17">
        <f>SUM($G$8:G14)</f>
        <v>39974.09328125001</v>
      </c>
      <c r="M14" s="17">
        <f>L14/A14</f>
        <v>5710.5847544642875</v>
      </c>
    </row>
    <row r="15" spans="1:13" x14ac:dyDescent="0.2">
      <c r="A15" s="14">
        <v>8</v>
      </c>
      <c r="B15" s="15">
        <f t="shared" si="0"/>
        <v>1543.3839432000009</v>
      </c>
      <c r="C15" s="15">
        <f t="shared" si="1"/>
        <v>315.69217020000019</v>
      </c>
      <c r="D15" s="15">
        <f t="shared" si="2"/>
        <v>0</v>
      </c>
      <c r="E15" s="15">
        <f t="shared" si="3"/>
        <v>315.69217020000019</v>
      </c>
      <c r="F15" s="17">
        <f t="shared" si="4"/>
        <v>880</v>
      </c>
      <c r="G15" s="17">
        <f t="shared" si="5"/>
        <v>6360.7668437500033</v>
      </c>
      <c r="H15" s="17">
        <f t="shared" si="6"/>
        <v>8800</v>
      </c>
      <c r="I15" s="17">
        <f t="shared" si="7"/>
        <v>2439.2331562499967</v>
      </c>
      <c r="J15" s="18" t="str">
        <f>IF(COUNTIF($I$8:I15,"&lt;0")&gt;0,"Stop","Plant")</f>
        <v>Plant</v>
      </c>
      <c r="K15" s="19">
        <f t="shared" si="8"/>
        <v>0</v>
      </c>
      <c r="L15" s="17">
        <f>SUM($G$8:G15)</f>
        <v>46334.86012500002</v>
      </c>
      <c r="M15" s="17">
        <f>L15/A15</f>
        <v>5791.857515625003</v>
      </c>
    </row>
    <row r="16" spans="1:13" x14ac:dyDescent="0.2">
      <c r="A16" s="14">
        <v>9</v>
      </c>
      <c r="B16" s="15">
        <f t="shared" si="0"/>
        <v>1909.9376297100011</v>
      </c>
      <c r="C16" s="15">
        <f t="shared" si="1"/>
        <v>366.55368651000026</v>
      </c>
      <c r="D16" s="15">
        <f t="shared" si="2"/>
        <v>0</v>
      </c>
      <c r="E16" s="15">
        <f t="shared" si="3"/>
        <v>366.55368651000026</v>
      </c>
      <c r="F16" s="17">
        <f t="shared" si="4"/>
        <v>880</v>
      </c>
      <c r="G16" s="17">
        <f t="shared" si="5"/>
        <v>7243.7792796875046</v>
      </c>
      <c r="H16" s="17">
        <f t="shared" si="6"/>
        <v>8800</v>
      </c>
      <c r="I16" s="17">
        <f t="shared" si="7"/>
        <v>1556.2207203124954</v>
      </c>
      <c r="J16" s="18" t="str">
        <f>IF(COUNTIF($I$8:I16,"&lt;0")&gt;0,"Stop","Plant")</f>
        <v>Plant</v>
      </c>
      <c r="K16" s="19">
        <f t="shared" si="8"/>
        <v>0</v>
      </c>
      <c r="L16" s="17">
        <f>SUM($G$8:G16)</f>
        <v>53578.63940468753</v>
      </c>
      <c r="M16" s="17">
        <f>L16/A16</f>
        <v>5953.182156076392</v>
      </c>
    </row>
    <row r="17" spans="1:13" x14ac:dyDescent="0.2">
      <c r="A17" s="14">
        <v>10</v>
      </c>
      <c r="B17" s="15">
        <f t="shared" si="0"/>
        <v>2334.3682140900019</v>
      </c>
      <c r="C17" s="15">
        <f t="shared" si="1"/>
        <v>424.43058438000071</v>
      </c>
      <c r="D17" s="15">
        <f t="shared" si="2"/>
        <v>0</v>
      </c>
      <c r="E17" s="15">
        <f t="shared" si="3"/>
        <v>424.43058438000071</v>
      </c>
      <c r="F17" s="17">
        <f t="shared" si="4"/>
        <v>880</v>
      </c>
      <c r="G17" s="17">
        <f t="shared" si="5"/>
        <v>8248.586534375012</v>
      </c>
      <c r="H17" s="17">
        <f t="shared" si="6"/>
        <v>8800</v>
      </c>
      <c r="I17" s="17">
        <f t="shared" si="7"/>
        <v>551.41346562498802</v>
      </c>
      <c r="J17" s="18" t="str">
        <f>IF(COUNTIF($I$8:I17,"&lt;0")&gt;0,"Stop","Plant")</f>
        <v>Plant</v>
      </c>
      <c r="K17" s="19">
        <f t="shared" si="8"/>
        <v>0</v>
      </c>
      <c r="L17" s="17">
        <f>SUM($G$8:G17)</f>
        <v>61827.22593906253</v>
      </c>
      <c r="M17" s="17">
        <f>L17/A17</f>
        <v>6182.722593906254</v>
      </c>
    </row>
    <row r="18" spans="1:13" x14ac:dyDescent="0.2">
      <c r="A18" s="14">
        <v>11</v>
      </c>
      <c r="B18" s="15">
        <f t="shared" si="0"/>
        <v>2824.5855390489023</v>
      </c>
      <c r="C18" s="15">
        <f t="shared" si="1"/>
        <v>490.21732495890046</v>
      </c>
      <c r="D18" s="15">
        <f t="shared" si="2"/>
        <v>0</v>
      </c>
      <c r="E18" s="15">
        <f t="shared" si="3"/>
        <v>490.21732495890046</v>
      </c>
      <c r="F18" s="17">
        <f t="shared" si="4"/>
        <v>880</v>
      </c>
      <c r="G18" s="17">
        <f t="shared" si="5"/>
        <v>9390.7174472031329</v>
      </c>
      <c r="H18" s="17">
        <f t="shared" si="6"/>
        <v>8800</v>
      </c>
      <c r="I18" s="17">
        <f t="shared" si="7"/>
        <v>-590.71744720313291</v>
      </c>
      <c r="J18" s="18" t="str">
        <f>IF(COUNTIF($I$8:I18,"&lt;0")&gt;0,"Stop","Plant")</f>
        <v>Stop</v>
      </c>
      <c r="K18" s="19">
        <f t="shared" si="8"/>
        <v>0</v>
      </c>
      <c r="L18" s="17">
        <f>SUM($G$8:G18)</f>
        <v>71217.94338626566</v>
      </c>
      <c r="M18" s="17">
        <f>L18/A18</f>
        <v>6474.358489660514</v>
      </c>
    </row>
    <row r="19" spans="1:13" x14ac:dyDescent="0.2">
      <c r="A19" s="14">
        <v>12</v>
      </c>
      <c r="B19" s="15">
        <f t="shared" si="0"/>
        <v>3389.502646858683</v>
      </c>
      <c r="C19" s="15">
        <f t="shared" si="1"/>
        <v>564.91710780978065</v>
      </c>
      <c r="D19" s="15">
        <f t="shared" si="2"/>
        <v>0</v>
      </c>
      <c r="E19" s="15">
        <f t="shared" si="3"/>
        <v>564.91710780978065</v>
      </c>
      <c r="F19" s="17">
        <f t="shared" si="4"/>
        <v>880</v>
      </c>
      <c r="G19" s="17">
        <f t="shared" si="5"/>
        <v>10687.588677253136</v>
      </c>
      <c r="H19" s="17">
        <f t="shared" si="6"/>
        <v>8800</v>
      </c>
      <c r="I19" s="17">
        <f t="shared" si="7"/>
        <v>-1887.5886772531358</v>
      </c>
      <c r="J19" s="18" t="str">
        <f>IF(COUNTIF($I$8:I19,"&lt;0")&gt;0,"Stop","Plant")</f>
        <v>Stop</v>
      </c>
      <c r="K19" s="19">
        <f t="shared" si="8"/>
        <v>0</v>
      </c>
      <c r="L19" s="17">
        <f>SUM($G$8:G19)</f>
        <v>81905.5320635188</v>
      </c>
      <c r="M19" s="17">
        <f>L19/A19</f>
        <v>6825.461005293233</v>
      </c>
    </row>
    <row r="20" spans="1:13" x14ac:dyDescent="0.2">
      <c r="A20" s="14">
        <v>13</v>
      </c>
      <c r="B20" s="15">
        <f t="shared" si="0"/>
        <v>4039.1573208399304</v>
      </c>
      <c r="C20" s="15">
        <f t="shared" si="1"/>
        <v>649.65467398124747</v>
      </c>
      <c r="D20" s="15">
        <f t="shared" si="2"/>
        <v>0</v>
      </c>
      <c r="E20" s="15">
        <f t="shared" si="3"/>
        <v>649.65467398124747</v>
      </c>
      <c r="F20" s="17">
        <f t="shared" si="4"/>
        <v>880</v>
      </c>
      <c r="G20" s="17">
        <f t="shared" si="5"/>
        <v>12158.726978841101</v>
      </c>
      <c r="H20" s="17">
        <f t="shared" si="6"/>
        <v>8800</v>
      </c>
      <c r="I20" s="17">
        <f t="shared" si="7"/>
        <v>-3358.7269788411013</v>
      </c>
      <c r="J20" s="18" t="str">
        <f>IF(COUNTIF($I$8:I20,"&lt;0")&gt;0,"Stop","Plant")</f>
        <v>Stop</v>
      </c>
      <c r="K20" s="19">
        <f t="shared" si="8"/>
        <v>0</v>
      </c>
      <c r="L20" s="17">
        <f>SUM($G$8:G20)</f>
        <v>94064.2590423599</v>
      </c>
      <c r="M20" s="17">
        <f>L20/A20</f>
        <v>7235.712234027685</v>
      </c>
    </row>
    <row r="21" spans="1:13" x14ac:dyDescent="0.2">
      <c r="A21" s="14">
        <v>14</v>
      </c>
      <c r="B21" s="15">
        <f t="shared" si="0"/>
        <v>4784.8479031488414</v>
      </c>
      <c r="C21" s="15">
        <f t="shared" si="1"/>
        <v>745.69058230891096</v>
      </c>
      <c r="D21" s="15">
        <f t="shared" si="2"/>
        <v>0</v>
      </c>
      <c r="E21" s="15">
        <f t="shared" si="3"/>
        <v>745.69058230891096</v>
      </c>
      <c r="F21" s="17">
        <f t="shared" si="4"/>
        <v>880</v>
      </c>
      <c r="G21" s="17">
        <f t="shared" si="5"/>
        <v>13826.017053974148</v>
      </c>
      <c r="H21" s="17">
        <f t="shared" si="6"/>
        <v>8800</v>
      </c>
      <c r="I21" s="17">
        <f t="shared" si="7"/>
        <v>-5026.0170539741484</v>
      </c>
      <c r="J21" s="18" t="str">
        <f>IF(COUNTIF($I$8:I21,"&lt;0")&gt;0,"Stop","Plant")</f>
        <v>Stop</v>
      </c>
      <c r="K21" s="19">
        <f t="shared" si="8"/>
        <v>0</v>
      </c>
      <c r="L21" s="17">
        <f>SUM($G$8:G21)</f>
        <v>107890.27609633406</v>
      </c>
      <c r="M21" s="17">
        <f>L21/A21</f>
        <v>7706.44829259529</v>
      </c>
    </row>
    <row r="22" spans="1:13" x14ac:dyDescent="0.2">
      <c r="A22" s="14">
        <v>15</v>
      </c>
      <c r="B22" s="15">
        <f t="shared" si="0"/>
        <v>5639.2850287111351</v>
      </c>
      <c r="C22" s="15">
        <f t="shared" si="1"/>
        <v>854.43712556229366</v>
      </c>
      <c r="D22" s="15">
        <f t="shared" si="2"/>
        <v>0</v>
      </c>
      <c r="E22" s="15">
        <f t="shared" si="3"/>
        <v>854.43712556229366</v>
      </c>
      <c r="F22" s="17">
        <f t="shared" si="4"/>
        <v>880</v>
      </c>
      <c r="G22" s="17">
        <f t="shared" si="5"/>
        <v>15713.977874345375</v>
      </c>
      <c r="H22" s="17">
        <f t="shared" si="6"/>
        <v>8800</v>
      </c>
      <c r="I22" s="17">
        <f t="shared" si="7"/>
        <v>-6913.9778743453753</v>
      </c>
      <c r="J22" s="18" t="str">
        <f>IF(COUNTIF($I$8:I22,"&lt;0")&gt;0,"Stop","Plant")</f>
        <v>Stop</v>
      </c>
      <c r="K22" s="19">
        <f t="shared" si="8"/>
        <v>0</v>
      </c>
      <c r="L22" s="17">
        <f>SUM($G$8:G22)</f>
        <v>123604.25397067943</v>
      </c>
      <c r="M22" s="17">
        <f>L22/A22</f>
        <v>8240.283598045296</v>
      </c>
    </row>
    <row r="23" spans="1:13" x14ac:dyDescent="0.2">
      <c r="A23" s="14">
        <v>16</v>
      </c>
      <c r="B23" s="15">
        <f t="shared" si="0"/>
        <v>6616.761100354398</v>
      </c>
      <c r="C23" s="15">
        <f t="shared" si="1"/>
        <v>977.47607164326291</v>
      </c>
      <c r="D23" s="15">
        <f t="shared" si="2"/>
        <v>0</v>
      </c>
      <c r="E23" s="15">
        <f t="shared" si="3"/>
        <v>977.47607164326291</v>
      </c>
      <c r="F23" s="17">
        <f t="shared" si="4"/>
        <v>880</v>
      </c>
      <c r="G23" s="17">
        <f t="shared" si="5"/>
        <v>17850.070688251093</v>
      </c>
      <c r="H23" s="17">
        <f t="shared" si="6"/>
        <v>8800</v>
      </c>
      <c r="I23" s="17">
        <f t="shared" si="7"/>
        <v>-9050.0706882510931</v>
      </c>
      <c r="J23" s="18" t="str">
        <f>IF(COUNTIF($I$8:I23,"&lt;0")&gt;0,"Stop","Plant")</f>
        <v>Stop</v>
      </c>
      <c r="K23" s="19">
        <f t="shared" si="8"/>
        <v>0</v>
      </c>
      <c r="L23" s="17">
        <f>SUM($G$8:G23)</f>
        <v>141454.32465893053</v>
      </c>
      <c r="M23" s="17">
        <f>L23/A23</f>
        <v>8840.895291183158</v>
      </c>
    </row>
    <row r="24" spans="1:13" x14ac:dyDescent="0.2">
      <c r="A24" s="14">
        <v>17</v>
      </c>
      <c r="B24" s="15">
        <f t="shared" si="0"/>
        <v>7733.3395360392033</v>
      </c>
      <c r="C24" s="15">
        <f t="shared" si="1"/>
        <v>1116.5784356848053</v>
      </c>
      <c r="D24" s="15">
        <f t="shared" si="2"/>
        <v>0</v>
      </c>
      <c r="E24" s="15">
        <f t="shared" si="3"/>
        <v>1116.5784356848053</v>
      </c>
      <c r="F24" s="17">
        <f t="shared" si="4"/>
        <v>880</v>
      </c>
      <c r="G24" s="17">
        <f t="shared" si="5"/>
        <v>20265.042286194537</v>
      </c>
      <c r="H24" s="17">
        <f t="shared" si="6"/>
        <v>8800</v>
      </c>
      <c r="I24" s="17">
        <f t="shared" si="7"/>
        <v>-11465.042286194537</v>
      </c>
      <c r="J24" s="18" t="str">
        <f>IF(COUNTIF($I$8:I24,"&lt;0")&gt;0,"Stop","Plant")</f>
        <v>Stop</v>
      </c>
      <c r="K24" s="19">
        <f t="shared" si="8"/>
        <v>0</v>
      </c>
      <c r="L24" s="17">
        <f>SUM($G$8:G24)</f>
        <v>161719.36694512508</v>
      </c>
      <c r="M24" s="17">
        <f>L24/A24</f>
        <v>9512.903937948533</v>
      </c>
    </row>
    <row r="25" spans="1:13" x14ac:dyDescent="0.2">
      <c r="A25" s="14">
        <v>18</v>
      </c>
      <c r="B25" s="15">
        <f t="shared" si="0"/>
        <v>9007.0660478574246</v>
      </c>
      <c r="C25" s="15">
        <f t="shared" si="1"/>
        <v>1273.7265118182213</v>
      </c>
      <c r="D25" s="15">
        <f t="shared" si="2"/>
        <v>0</v>
      </c>
      <c r="E25" s="15">
        <f t="shared" si="3"/>
        <v>1273.7265118182213</v>
      </c>
      <c r="F25" s="17">
        <f t="shared" si="4"/>
        <v>880</v>
      </c>
      <c r="G25" s="17">
        <f t="shared" si="5"/>
        <v>22993.307496844118</v>
      </c>
      <c r="H25" s="17">
        <f t="shared" si="6"/>
        <v>8800</v>
      </c>
      <c r="I25" s="17">
        <f t="shared" si="7"/>
        <v>-14193.307496844118</v>
      </c>
      <c r="J25" s="18" t="str">
        <f>IF(COUNTIF($I$8:I25,"&lt;0")&gt;0,"Stop","Plant")</f>
        <v>Stop</v>
      </c>
      <c r="K25" s="19">
        <f t="shared" si="8"/>
        <v>0</v>
      </c>
      <c r="L25" s="17">
        <f>SUM($G$8:G25)</f>
        <v>184712.6744419692</v>
      </c>
      <c r="M25" s="17">
        <f>L25/A25</f>
        <v>10261.815246776066</v>
      </c>
    </row>
    <row r="26" spans="1:13" x14ac:dyDescent="0.2">
      <c r="A26" s="14">
        <v>19</v>
      </c>
      <c r="B26" s="15">
        <f t="shared" si="0"/>
        <v>10458.204466678902</v>
      </c>
      <c r="C26" s="15">
        <f t="shared" si="1"/>
        <v>1451.1384188214779</v>
      </c>
      <c r="D26" s="15">
        <f t="shared" si="2"/>
        <v>0</v>
      </c>
      <c r="E26" s="15">
        <f t="shared" si="3"/>
        <v>1451.1384188214779</v>
      </c>
      <c r="F26" s="17">
        <f t="shared" si="4"/>
        <v>880</v>
      </c>
      <c r="G26" s="17">
        <f t="shared" si="5"/>
        <v>26073.375326761769</v>
      </c>
      <c r="H26" s="17">
        <f t="shared" si="6"/>
        <v>8800</v>
      </c>
      <c r="I26" s="17">
        <f t="shared" si="7"/>
        <v>-17273.375326761769</v>
      </c>
      <c r="J26" s="18" t="str">
        <f>IF(COUNTIF($I$8:I26,"&lt;0")&gt;0,"Stop","Plant")</f>
        <v>Stop</v>
      </c>
      <c r="K26" s="19">
        <f t="shared" si="8"/>
        <v>0</v>
      </c>
      <c r="L26" s="17">
        <f>SUM($G$8:G26)</f>
        <v>210786.04976873094</v>
      </c>
      <c r="M26" s="17">
        <f>L26/A26</f>
        <v>11094.002619406892</v>
      </c>
    </row>
    <row r="27" spans="1:13" x14ac:dyDescent="0.2">
      <c r="A27" s="14">
        <v>20</v>
      </c>
      <c r="B27" s="15">
        <f t="shared" si="0"/>
        <v>12109.499908786096</v>
      </c>
      <c r="C27" s="15">
        <f t="shared" si="1"/>
        <v>1651.2954421071936</v>
      </c>
      <c r="D27" s="15">
        <f t="shared" si="2"/>
        <v>0</v>
      </c>
      <c r="E27" s="15">
        <f t="shared" si="3"/>
        <v>1651.2954421071936</v>
      </c>
      <c r="F27" s="17">
        <f t="shared" si="4"/>
        <v>880</v>
      </c>
      <c r="G27" s="17">
        <f t="shared" si="5"/>
        <v>29548.323647694331</v>
      </c>
      <c r="H27" s="17">
        <f t="shared" si="6"/>
        <v>8800</v>
      </c>
      <c r="I27" s="17">
        <f t="shared" si="7"/>
        <v>-20748.323647694331</v>
      </c>
      <c r="J27" s="18" t="str">
        <f>IF(COUNTIF($I$8:I27,"&lt;0")&gt;0,"Stop","Plant")</f>
        <v>Stop</v>
      </c>
      <c r="K27" s="19">
        <f t="shared" si="8"/>
        <v>0</v>
      </c>
      <c r="L27" s="17">
        <f>SUM($G$8:G27)</f>
        <v>240334.3734164253</v>
      </c>
      <c r="M27" s="17">
        <f>L27/A27</f>
        <v>12016.718670821265</v>
      </c>
    </row>
    <row r="30" spans="1:11" x14ac:dyDescent="0.2">
      <c r="A30" s="3" t="s">
        <v>78</v>
      </c>
    </row>
    <row r="31" spans="1:13" x14ac:dyDescent="0.2">
      <c r="A31" s="4" t="s">
        <v>67</v>
      </c>
      <c r="B31" s="4" t="s">
        <v>68</v>
      </c>
      <c r="C31" s="4" t="s">
        <v>69</v>
      </c>
      <c r="D31" s="4" t="s">
        <v>70</v>
      </c>
      <c r="E31" s="4" t="s">
        <v>71</v>
      </c>
      <c r="F31" s="4" t="s">
        <v>72</v>
      </c>
      <c r="G31" s="4" t="s">
        <v>73</v>
      </c>
      <c r="H31" s="4" t="s">
        <v>74</v>
      </c>
      <c r="I31" s="4" t="s">
        <v>75</v>
      </c>
      <c r="J31" s="4" t="s">
        <v>76</v>
      </c>
      <c r="K31" s="4" t="s">
        <v>77</v>
      </c>
      <c r="L31" s="4" t="inlineStr">
        <is>
          <t>Cumulative VC(q)</t>
        </is>
      </c>
      <c r="M31" s="4" t="inlineStr">
        <is>
          <t>AVC(q)</t>
        </is>
      </c>
    </row>
    <row r="32" spans="1:11" x14ac:dyDescent="0.2">
      <c r="A32" s="14">
        <v>0</v>
      </c>
      <c r="B32" s="15">
        <f t="shared" ref="B32:B52" si="9">A32*CAR_HPB*WEEKS*(1+CAR_DIM)^A32</f>
        <v>0</v>
      </c>
      <c r="C32" s="16"/>
      <c r="D32" s="16"/>
      <c r="E32" s="16"/>
      <c r="F32" s="16"/>
      <c r="G32" s="16"/>
      <c r="H32" s="16"/>
      <c r="I32" s="16"/>
      <c r="J32" s="16"/>
      <c r="K32" s="16"/>
    </row>
    <row r="33" spans="1:13" x14ac:dyDescent="0.2">
      <c r="A33" s="14">
        <v>1</v>
      </c>
      <c r="B33" s="15">
        <f t="shared" si="9"/>
        <v>30.749999999999996</v>
      </c>
      <c r="C33" s="15">
        <f t="shared" ref="C33:C52" si="10">B33-B32</f>
        <v>30.749999999999996</v>
      </c>
      <c r="D33" s="15">
        <f t="shared" ref="D33:D52" si="11">MAX(0,MIN(C33,PERM_HOURS-B32))</f>
        <v>30.749999999999996</v>
      </c>
      <c r="E33" s="15">
        <f t="shared" ref="E33:E52" si="12">C33-D33</f>
        <v>0</v>
      </c>
      <c r="F33" s="17">
        <f t="shared" ref="F33:F52" si="13">CAR_FERT</f>
        <v>440</v>
      </c>
      <c r="G33" s="17">
        <f t="shared" ref="G33:G52" si="14">D33*PERM_RATE+E33*TEMP_RATE+F33</f>
        <v>1507.7083333333333</v>
      </c>
      <c r="H33" s="17">
        <f t="shared" ref="H33:H52" si="15">CAR_PRICE</f>
        <v>2094</v>
      </c>
      <c r="I33" s="17">
        <f t="shared" ref="I33:I52" si="16">H33-G33</f>
        <v>586.29166666666674</v>
      </c>
      <c r="J33" s="18" t="str">
        <f>IF(COUNTIF($I$33:I33,"&lt;0")&gt;0,"Stop","Plant")</f>
        <v>Plant</v>
      </c>
      <c r="K33" s="19">
        <f t="shared" ref="K33:K52" si="17">IF(A33&lt;2,0,IF(G33&lt;G32,1,0))</f>
        <v>0</v>
      </c>
      <c r="L33" s="17">
        <f>SUM($G$33:G33)</f>
        <v>1507.7083333333333</v>
      </c>
      <c r="M33" s="17">
        <f>L33/A33</f>
        <v>1507.7083333333333</v>
      </c>
    </row>
    <row r="34" spans="1:13" x14ac:dyDescent="0.2">
      <c r="A34" s="14">
        <v>2</v>
      </c>
      <c r="B34" s="15">
        <f t="shared" si="9"/>
        <v>63.037499999999994</v>
      </c>
      <c r="C34" s="15">
        <f t="shared" si="10"/>
        <v>32.287499999999994</v>
      </c>
      <c r="D34" s="15">
        <f t="shared" si="11"/>
        <v>32.287499999999994</v>
      </c>
      <c r="E34" s="15">
        <f t="shared" si="12"/>
        <v>0</v>
      </c>
      <c r="F34" s="17">
        <f t="shared" si="13"/>
        <v>440</v>
      </c>
      <c r="G34" s="17">
        <f t="shared" si="14"/>
        <v>1561.0937499999998</v>
      </c>
      <c r="H34" s="17">
        <f t="shared" si="15"/>
        <v>2094</v>
      </c>
      <c r="I34" s="17">
        <f t="shared" si="16"/>
        <v>532.90625000000023</v>
      </c>
      <c r="J34" s="18" t="str">
        <f>IF(COUNTIF($I$33:I34,"&lt;0")&gt;0,"Stop","Plant")</f>
        <v>Plant</v>
      </c>
      <c r="K34" s="19">
        <f t="shared" si="17"/>
        <v>0</v>
      </c>
      <c r="L34" s="17">
        <f>SUM($G$33:G34)</f>
        <v>3068.802083333333</v>
      </c>
      <c r="M34" s="17">
        <f>L34/A34</f>
        <v>1534.4010416666665</v>
      </c>
    </row>
    <row r="35" spans="1:13" x14ac:dyDescent="0.2">
      <c r="A35" s="14">
        <v>3</v>
      </c>
      <c r="B35" s="15">
        <f t="shared" si="9"/>
        <v>96.920156249999991</v>
      </c>
      <c r="C35" s="15">
        <f t="shared" si="10"/>
        <v>33.882656249999997</v>
      </c>
      <c r="D35" s="15">
        <f t="shared" si="11"/>
        <v>33.882656249999997</v>
      </c>
      <c r="E35" s="15">
        <f t="shared" si="12"/>
        <v>0</v>
      </c>
      <c r="F35" s="17">
        <f t="shared" si="13"/>
        <v>440</v>
      </c>
      <c r="G35" s="17">
        <f t="shared" si="14"/>
        <v>1616.4811197916665</v>
      </c>
      <c r="H35" s="17">
        <f t="shared" si="15"/>
        <v>2094</v>
      </c>
      <c r="I35" s="17">
        <f t="shared" si="16"/>
        <v>477.51888020833348</v>
      </c>
      <c r="J35" s="18" t="str">
        <f>IF(COUNTIF($I$33:I35,"&lt;0")&gt;0,"Stop","Plant")</f>
        <v>Plant</v>
      </c>
      <c r="K35" s="19">
        <f t="shared" si="17"/>
        <v>0</v>
      </c>
      <c r="L35" s="17">
        <f>SUM($G$33:G35)</f>
        <v>4685.283203124998</v>
      </c>
      <c r="M35" s="17">
        <f>L35/A35</f>
        <v>1561.7610677083328</v>
      </c>
    </row>
    <row r="36" spans="1:13" x14ac:dyDescent="0.2">
      <c r="A36" s="14">
        <v>4</v>
      </c>
      <c r="B36" s="15">
        <f t="shared" si="9"/>
        <v>132.45754687499996</v>
      </c>
      <c r="C36" s="15">
        <f t="shared" si="10"/>
        <v>35.537390624999972</v>
      </c>
      <c r="D36" s="15">
        <f t="shared" si="11"/>
        <v>35.537390624999972</v>
      </c>
      <c r="E36" s="15">
        <f t="shared" si="12"/>
        <v>0</v>
      </c>
      <c r="F36" s="17">
        <f t="shared" si="13"/>
        <v>440</v>
      </c>
      <c r="G36" s="17">
        <f t="shared" si="14"/>
        <v>1673.9371744791656</v>
      </c>
      <c r="H36" s="17">
        <f t="shared" si="15"/>
        <v>2094</v>
      </c>
      <c r="I36" s="17">
        <f t="shared" si="16"/>
        <v>420.06282552083439</v>
      </c>
      <c r="J36" s="18" t="str">
        <f>IF(COUNTIF($I$33:I36,"&lt;0")&gt;0,"Stop","Plant")</f>
        <v>Plant</v>
      </c>
      <c r="K36" s="19">
        <f t="shared" si="17"/>
        <v>0</v>
      </c>
      <c r="L36" s="17">
        <f>SUM($G$33:G36)</f>
        <v>6359.220377604164</v>
      </c>
      <c r="M36" s="17">
        <f>L36/A36</f>
        <v>1589.805094401041</v>
      </c>
    </row>
    <row r="37" spans="1:13" x14ac:dyDescent="0.2">
      <c r="A37" s="14">
        <v>5</v>
      </c>
      <c r="B37" s="15">
        <f t="shared" si="9"/>
        <v>169.71123193359369</v>
      </c>
      <c r="C37" s="15">
        <f t="shared" si="10"/>
        <v>37.253685058593732</v>
      </c>
      <c r="D37" s="15">
        <f t="shared" si="11"/>
        <v>37.253685058593732</v>
      </c>
      <c r="E37" s="15">
        <f t="shared" si="12"/>
        <v>0</v>
      </c>
      <c r="F37" s="17">
        <f t="shared" si="13"/>
        <v>440</v>
      </c>
      <c r="G37" s="17">
        <f t="shared" si="14"/>
        <v>1733.5307312011712</v>
      </c>
      <c r="H37" s="17">
        <f t="shared" si="15"/>
        <v>2094</v>
      </c>
      <c r="I37" s="17">
        <f t="shared" si="16"/>
        <v>360.46926879882881</v>
      </c>
      <c r="J37" s="18" t="str">
        <f>IF(COUNTIF($I$33:I37,"&lt;0")&gt;0,"Stop","Plant")</f>
        <v>Plant</v>
      </c>
      <c r="K37" s="19">
        <f t="shared" si="17"/>
        <v>0</v>
      </c>
      <c r="L37" s="17">
        <f>SUM($G$33:G37)</f>
        <v>8092.751108805335</v>
      </c>
      <c r="M37" s="17">
        <f>L37/A37</f>
        <v>1618.550221761067</v>
      </c>
    </row>
    <row r="38" spans="1:13" x14ac:dyDescent="0.2">
      <c r="A38" s="14">
        <v>6</v>
      </c>
      <c r="B38" s="15">
        <f t="shared" si="9"/>
        <v>208.74481527832023</v>
      </c>
      <c r="C38" s="15">
        <f t="shared" si="10"/>
        <v>39.033583344726537</v>
      </c>
      <c r="D38" s="15">
        <f t="shared" si="11"/>
        <v>39.033583344726537</v>
      </c>
      <c r="E38" s="15">
        <f t="shared" si="12"/>
        <v>0</v>
      </c>
      <c r="F38" s="17">
        <f t="shared" si="13"/>
        <v>440</v>
      </c>
      <c r="G38" s="17">
        <f t="shared" si="14"/>
        <v>1795.332755025227</v>
      </c>
      <c r="H38" s="17">
        <f t="shared" si="15"/>
        <v>2094</v>
      </c>
      <c r="I38" s="17">
        <f t="shared" si="16"/>
        <v>298.66724497477298</v>
      </c>
      <c r="J38" s="18" t="str">
        <f>IF(COUNTIF($I$33:I38,"&lt;0")&gt;0,"Stop","Plant")</f>
        <v>Plant</v>
      </c>
      <c r="K38" s="19">
        <f t="shared" si="17"/>
        <v>0</v>
      </c>
      <c r="L38" s="17">
        <f>SUM($G$33:G38)</f>
        <v>9888.083863830561</v>
      </c>
      <c r="M38" s="17">
        <f>L38/A38</f>
        <v>1648.0139773050935</v>
      </c>
    </row>
    <row r="39" spans="1:13" x14ac:dyDescent="0.2">
      <c r="A39" s="14">
        <v>7</v>
      </c>
      <c r="B39" s="15">
        <f t="shared" si="9"/>
        <v>249.62400827032465</v>
      </c>
      <c r="C39" s="15">
        <f t="shared" si="10"/>
        <v>40.87919299200442</v>
      </c>
      <c r="D39" s="15">
        <f t="shared" si="11"/>
        <v>40.87919299200442</v>
      </c>
      <c r="E39" s="15">
        <f t="shared" si="12"/>
        <v>0</v>
      </c>
      <c r="F39" s="17">
        <f t="shared" si="13"/>
        <v>440</v>
      </c>
      <c r="G39" s="17">
        <f t="shared" si="14"/>
        <v>1859.4164233334868</v>
      </c>
      <c r="H39" s="17">
        <f t="shared" si="15"/>
        <v>2094</v>
      </c>
      <c r="I39" s="17">
        <f t="shared" si="16"/>
        <v>234.58357666651318</v>
      </c>
      <c r="J39" s="18" t="str">
        <f>IF(COUNTIF($I$33:I39,"&lt;0")&gt;0,"Stop","Plant")</f>
        <v>Plant</v>
      </c>
      <c r="K39" s="19">
        <f t="shared" si="17"/>
        <v>0</v>
      </c>
      <c r="L39" s="17">
        <f>SUM($G$33:G39)</f>
        <v>11747.500287164048</v>
      </c>
      <c r="M39" s="17">
        <f>L39/A39</f>
        <v>1678.2143267377212</v>
      </c>
    </row>
    <row r="40" spans="1:13" x14ac:dyDescent="0.2">
      <c r="A40" s="14">
        <v>8</v>
      </c>
      <c r="B40" s="15">
        <f t="shared" si="9"/>
        <v>292.41669540238024</v>
      </c>
      <c r="C40" s="15">
        <f t="shared" si="10"/>
        <v>42.79268713205559</v>
      </c>
      <c r="D40" s="15">
        <f t="shared" si="11"/>
        <v>42.79268713205559</v>
      </c>
      <c r="E40" s="15">
        <f t="shared" si="12"/>
        <v>0</v>
      </c>
      <c r="F40" s="17">
        <f t="shared" si="13"/>
        <v>440</v>
      </c>
      <c r="G40" s="17">
        <f t="shared" si="14"/>
        <v>1925.8571920852635</v>
      </c>
      <c r="H40" s="17">
        <f t="shared" si="15"/>
        <v>2094</v>
      </c>
      <c r="I40" s="17">
        <f t="shared" si="16"/>
        <v>168.14280791473652</v>
      </c>
      <c r="J40" s="18" t="str">
        <f>IF(COUNTIF($I$33:I40,"&lt;0")&gt;0,"Stop","Plant")</f>
        <v>Plant</v>
      </c>
      <c r="K40" s="19">
        <f t="shared" si="17"/>
        <v>0</v>
      </c>
      <c r="L40" s="17">
        <f>SUM($G$33:G40)</f>
        <v>13673.35747924931</v>
      </c>
      <c r="M40" s="17">
        <f>L40/A40</f>
        <v>1709.1696849061636</v>
      </c>
    </row>
    <row r="41" spans="1:13" x14ac:dyDescent="0.2">
      <c r="A41" s="14">
        <v>9</v>
      </c>
      <c r="B41" s="15">
        <f t="shared" si="9"/>
        <v>337.19300188586965</v>
      </c>
      <c r="C41" s="15">
        <f t="shared" si="10"/>
        <v>44.776306483489407</v>
      </c>
      <c r="D41" s="15">
        <f t="shared" si="11"/>
        <v>44.776306483489407</v>
      </c>
      <c r="E41" s="15">
        <f t="shared" si="12"/>
        <v>0</v>
      </c>
      <c r="F41" s="17">
        <f t="shared" si="13"/>
        <v>440</v>
      </c>
      <c r="G41" s="17">
        <f t="shared" si="14"/>
        <v>1994.7328640100488</v>
      </c>
      <c r="H41" s="17">
        <f t="shared" si="15"/>
        <v>2094</v>
      </c>
      <c r="I41" s="17">
        <f t="shared" si="16"/>
        <v>99.267135989951157</v>
      </c>
      <c r="J41" s="18" t="str">
        <f>IF(COUNTIF($I$33:I41,"&lt;0")&gt;0,"Stop","Plant")</f>
        <v>Plant</v>
      </c>
      <c r="K41" s="19">
        <f t="shared" si="17"/>
        <v>0</v>
      </c>
      <c r="L41" s="17">
        <f>SUM($G$33:G41)</f>
        <v>15668.09034325936</v>
      </c>
      <c r="M41" s="17">
        <f>L41/A41</f>
        <v>1740.8989270288178</v>
      </c>
    </row>
    <row r="42" spans="1:13" x14ac:dyDescent="0.2">
      <c r="A42" s="14">
        <v>10</v>
      </c>
      <c r="B42" s="15">
        <f t="shared" si="9"/>
        <v>384.02536325890713</v>
      </c>
      <c r="C42" s="15">
        <f t="shared" si="10"/>
        <v>46.832361373037486</v>
      </c>
      <c r="D42" s="15">
        <f t="shared" si="11"/>
        <v>46.832361373037486</v>
      </c>
      <c r="E42" s="15">
        <f t="shared" si="12"/>
        <v>0</v>
      </c>
      <c r="F42" s="17">
        <f t="shared" si="13"/>
        <v>440</v>
      </c>
      <c r="G42" s="17">
        <f t="shared" si="14"/>
        <v>2066.123658786024</v>
      </c>
      <c r="H42" s="17">
        <f t="shared" si="15"/>
        <v>2094</v>
      </c>
      <c r="I42" s="17">
        <f t="shared" si="16"/>
        <v>27.876341213976048</v>
      </c>
      <c r="J42" s="18" t="str">
        <f>IF(COUNTIF($I$33:I42,"&lt;0")&gt;0,"Stop","Plant")</f>
        <v>Plant</v>
      </c>
      <c r="K42" s="19">
        <f t="shared" si="17"/>
        <v>0</v>
      </c>
      <c r="L42" s="17">
        <f>SUM($G$33:G42)</f>
        <v>17734.21400204538</v>
      </c>
      <c r="M42" s="17">
        <f>L42/A42</f>
        <v>1773.421400204538</v>
      </c>
    </row>
    <row r="43" spans="1:13" x14ac:dyDescent="0.2">
      <c r="A43" s="14">
        <v>11</v>
      </c>
      <c r="B43" s="15">
        <f t="shared" si="9"/>
        <v>432.98859707441784</v>
      </c>
      <c r="C43" s="15">
        <f t="shared" si="10"/>
        <v>48.963233815510705</v>
      </c>
      <c r="D43" s="15">
        <f t="shared" si="11"/>
        <v>48.963233815510705</v>
      </c>
      <c r="E43" s="15">
        <f t="shared" si="12"/>
        <v>0</v>
      </c>
      <c r="F43" s="17">
        <f t="shared" si="13"/>
        <v>440</v>
      </c>
      <c r="G43" s="17">
        <f t="shared" si="14"/>
        <v>2140.1122852607887</v>
      </c>
      <c r="H43" s="17">
        <f t="shared" si="15"/>
        <v>2094</v>
      </c>
      <c r="I43" s="17">
        <f t="shared" si="16"/>
        <v>-46.112285260788667</v>
      </c>
      <c r="J43" s="18" t="str">
        <f>IF(COUNTIF($I$33:I43,"&lt;0")&gt;0,"Stop","Plant")</f>
        <v>Stop</v>
      </c>
      <c r="K43" s="19">
        <f t="shared" si="17"/>
        <v>0</v>
      </c>
      <c r="L43" s="17">
        <f>SUM($G$33:G43)</f>
        <v>19874.32628730617</v>
      </c>
      <c r="M43" s="17">
        <f>L43/A43</f>
        <v>1806.7569352096516</v>
      </c>
    </row>
    <row r="44" spans="1:13" x14ac:dyDescent="0.2">
      <c r="A44" s="14">
        <v>12</v>
      </c>
      <c r="B44" s="15">
        <f t="shared" si="9"/>
        <v>484.15997672866712</v>
      </c>
      <c r="C44" s="15">
        <f t="shared" si="10"/>
        <v>51.171379654249279</v>
      </c>
      <c r="D44" s="15">
        <f t="shared" si="11"/>
        <v>51.171379654249279</v>
      </c>
      <c r="E44" s="15">
        <f t="shared" si="12"/>
        <v>0</v>
      </c>
      <c r="F44" s="17">
        <f t="shared" si="13"/>
        <v>440</v>
      </c>
      <c r="G44" s="17">
        <f t="shared" si="14"/>
        <v>2216.7840157725441</v>
      </c>
      <c r="H44" s="17">
        <f t="shared" si="15"/>
        <v>2094</v>
      </c>
      <c r="I44" s="17">
        <f t="shared" si="16"/>
        <v>-122.78401577254408</v>
      </c>
      <c r="J44" s="18" t="str">
        <f>IF(COUNTIF($I$33:I44,"&lt;0")&gt;0,"Stop","Plant")</f>
        <v>Stop</v>
      </c>
      <c r="K44" s="19">
        <f t="shared" si="17"/>
        <v>0</v>
      </c>
      <c r="L44" s="17">
        <f>SUM($G$33:G44)</f>
        <v>22091.110303078713</v>
      </c>
      <c r="M44" s="17">
        <f>L44/A44</f>
        <v>1840.9258585898926</v>
      </c>
    </row>
    <row r="45" spans="1:13" x14ac:dyDescent="0.2">
      <c r="A45" s="14">
        <v>13</v>
      </c>
      <c r="B45" s="15">
        <f t="shared" si="9"/>
        <v>537.61930749245744</v>
      </c>
      <c r="C45" s="15">
        <f t="shared" si="10"/>
        <v>53.459330763790319</v>
      </c>
      <c r="D45" s="15">
        <f t="shared" si="11"/>
        <v>53.459330763790319</v>
      </c>
      <c r="E45" s="15">
        <f t="shared" si="12"/>
        <v>0</v>
      </c>
      <c r="F45" s="17">
        <f t="shared" si="13"/>
        <v>440</v>
      </c>
      <c r="G45" s="17">
        <f t="shared" si="14"/>
        <v>2296.2267626316084</v>
      </c>
      <c r="H45" s="17">
        <f t="shared" si="15"/>
        <v>2094</v>
      </c>
      <c r="I45" s="17">
        <f t="shared" si="16"/>
        <v>-202.22676263160838</v>
      </c>
      <c r="J45" s="18" t="str">
        <f>IF(COUNTIF($I$33:I45,"&lt;0")&gt;0,"Stop","Plant")</f>
        <v>Stop</v>
      </c>
      <c r="K45" s="19">
        <f t="shared" si="17"/>
        <v>0</v>
      </c>
      <c r="L45" s="17">
        <f>SUM($G$33:G45)</f>
        <v>24387.337065710315</v>
      </c>
      <c r="M45" s="17">
        <f>L45/A45</f>
        <v>1875.9490050546397</v>
      </c>
    </row>
    <row r="46" spans="1:13" x14ac:dyDescent="0.2">
      <c r="A46" s="14">
        <v>14</v>
      </c>
      <c r="B46" s="15">
        <f t="shared" si="9"/>
        <v>593.44900480898184</v>
      </c>
      <c r="C46" s="15">
        <f t="shared" si="10"/>
        <v>55.829697316524403</v>
      </c>
      <c r="D46" s="15">
        <f t="shared" si="11"/>
        <v>55.829697316524403</v>
      </c>
      <c r="E46" s="15">
        <f t="shared" si="12"/>
        <v>0</v>
      </c>
      <c r="F46" s="17">
        <f t="shared" si="13"/>
        <v>440</v>
      </c>
      <c r="G46" s="17">
        <f t="shared" si="14"/>
        <v>2378.5311568237639</v>
      </c>
      <c r="H46" s="17">
        <f t="shared" si="15"/>
        <v>2094</v>
      </c>
      <c r="I46" s="17">
        <f t="shared" si="16"/>
        <v>-284.53115682376392</v>
      </c>
      <c r="J46" s="18" t="str">
        <f>IF(COUNTIF($I$33:I46,"&lt;0")&gt;0,"Stop","Plant")</f>
        <v>Stop</v>
      </c>
      <c r="K46" s="19">
        <f t="shared" si="17"/>
        <v>0</v>
      </c>
      <c r="L46" s="17">
        <f>SUM($G$33:G46)</f>
        <v>26765.86822253408</v>
      </c>
      <c r="M46" s="17">
        <f>L46/A46</f>
        <v>1911.8477301810058</v>
      </c>
    </row>
    <row r="47" spans="1:13" x14ac:dyDescent="0.2">
      <c r="A47" s="14">
        <v>15</v>
      </c>
      <c r="B47" s="15">
        <f t="shared" si="9"/>
        <v>651.73417492414967</v>
      </c>
      <c r="C47" s="15">
        <f t="shared" si="10"/>
        <v>58.28517011516783</v>
      </c>
      <c r="D47" s="15">
        <f t="shared" si="11"/>
        <v>58.28517011516783</v>
      </c>
      <c r="E47" s="15">
        <f t="shared" si="12"/>
        <v>0</v>
      </c>
      <c r="F47" s="17">
        <f t="shared" si="13"/>
        <v>440</v>
      </c>
      <c r="G47" s="17">
        <f t="shared" si="14"/>
        <v>2463.7906289988832</v>
      </c>
      <c r="H47" s="17">
        <f t="shared" si="15"/>
        <v>2094</v>
      </c>
      <c r="I47" s="17">
        <f t="shared" si="16"/>
        <v>-369.79062899888322</v>
      </c>
      <c r="J47" s="18" t="str">
        <f>IF(COUNTIF($I$33:I47,"&lt;0")&gt;0,"Stop","Plant")</f>
        <v>Stop</v>
      </c>
      <c r="K47" s="19">
        <f t="shared" si="17"/>
        <v>0</v>
      </c>
      <c r="L47" s="17">
        <f>SUM($G$33:G47)</f>
        <v>29229.65885153296</v>
      </c>
      <c r="M47" s="17">
        <f>L47/A47</f>
        <v>1948.6439234355307</v>
      </c>
    </row>
    <row r="48" spans="1:13" x14ac:dyDescent="0.2">
      <c r="A48" s="14">
        <v>16</v>
      </c>
      <c r="B48" s="15">
        <f t="shared" si="9"/>
        <v>712.5626979170703</v>
      </c>
      <c r="C48" s="15">
        <f t="shared" si="10"/>
        <v>60.828522992920625</v>
      </c>
      <c r="D48" s="15">
        <f t="shared" si="11"/>
        <v>60.828522992920625</v>
      </c>
      <c r="E48" s="15">
        <f t="shared" si="12"/>
        <v>0</v>
      </c>
      <c r="F48" s="17">
        <f t="shared" si="13"/>
        <v>440</v>
      </c>
      <c r="G48" s="17">
        <f t="shared" si="14"/>
        <v>2552.1014928097438</v>
      </c>
      <c r="H48" s="17">
        <f t="shared" si="15"/>
        <v>2094</v>
      </c>
      <c r="I48" s="17">
        <f t="shared" si="16"/>
        <v>-458.10149280974383</v>
      </c>
      <c r="J48" s="18" t="str">
        <f>IF(COUNTIF($I$33:I48,"&lt;0")&gt;0,"Stop","Plant")</f>
        <v>Stop</v>
      </c>
      <c r="K48" s="19">
        <f t="shared" si="17"/>
        <v>0</v>
      </c>
      <c r="L48" s="17">
        <f>SUM($G$33:G48)</f>
        <v>31781.7603443427</v>
      </c>
      <c r="M48" s="17">
        <f>L48/A48</f>
        <v>1986.3600215214187</v>
      </c>
    </row>
    <row r="49" spans="1:13" x14ac:dyDescent="0.2">
      <c r="A49" s="14">
        <v>17</v>
      </c>
      <c r="B49" s="15">
        <f t="shared" si="9"/>
        <v>776.02531320030937</v>
      </c>
      <c r="C49" s="15">
        <f t="shared" si="10"/>
        <v>63.462615283239074</v>
      </c>
      <c r="D49" s="15">
        <f t="shared" si="11"/>
        <v>7.4373020829297047</v>
      </c>
      <c r="E49" s="15">
        <f t="shared" si="12"/>
        <v>56.02531320030937</v>
      </c>
      <c r="F49" s="17">
        <f t="shared" si="13"/>
        <v>440</v>
      </c>
      <c r="G49" s="17">
        <f t="shared" si="14"/>
        <v>1670.9013431626524</v>
      </c>
      <c r="H49" s="17">
        <f t="shared" si="15"/>
        <v>2094</v>
      </c>
      <c r="I49" s="17">
        <f t="shared" si="16"/>
        <v>423.09865683734756</v>
      </c>
      <c r="J49" s="18" t="str">
        <f>IF(COUNTIF($I$33:I49,"&lt;0")&gt;0,"Stop","Plant")</f>
        <v>Stop</v>
      </c>
      <c r="K49" s="19">
        <f t="shared" si="17"/>
        <v>1</v>
      </c>
      <c r="L49" s="17">
        <f>SUM($G$33:G49)</f>
        <v>33452.66168750536</v>
      </c>
      <c r="M49" s="17">
        <f>L49/A49</f>
        <v>1967.8036286767858</v>
      </c>
    </row>
    <row r="50" spans="1:13" x14ac:dyDescent="0.2">
      <c r="A50" s="14">
        <v>18</v>
      </c>
      <c r="B50" s="15">
        <f t="shared" si="9"/>
        <v>842.2157075615122</v>
      </c>
      <c r="C50" s="15">
        <f t="shared" si="10"/>
        <v>66.190394361202834</v>
      </c>
      <c r="D50" s="15">
        <f t="shared" si="11"/>
        <v>0</v>
      </c>
      <c r="E50" s="15">
        <f t="shared" si="12"/>
        <v>66.190394361202834</v>
      </c>
      <c r="F50" s="17">
        <f t="shared" si="13"/>
        <v>440</v>
      </c>
      <c r="G50" s="17">
        <f t="shared" si="14"/>
        <v>1589.1387909931047</v>
      </c>
      <c r="H50" s="17">
        <f t="shared" si="15"/>
        <v>2094</v>
      </c>
      <c r="I50" s="17">
        <f t="shared" si="16"/>
        <v>504.86120900689525</v>
      </c>
      <c r="J50" s="18" t="str">
        <f>IF(COUNTIF($I$33:I50,"&lt;0")&gt;0,"Stop","Plant")</f>
        <v>Stop</v>
      </c>
      <c r="K50" s="19">
        <f t="shared" si="17"/>
        <v>1</v>
      </c>
      <c r="L50" s="17">
        <f>SUM($G$33:G50)</f>
        <v>35041.80047849846</v>
      </c>
      <c r="M50" s="17">
        <f>L50/A50</f>
        <v>1946.7666932499144</v>
      </c>
    </row>
    <row r="51" spans="1:13" x14ac:dyDescent="0.2">
      <c r="A51" s="14">
        <v>19</v>
      </c>
      <c r="B51" s="15">
        <f t="shared" si="9"/>
        <v>911.23060582002495</v>
      </c>
      <c r="C51" s="15">
        <f t="shared" si="10"/>
        <v>69.014898258512744</v>
      </c>
      <c r="D51" s="15">
        <f t="shared" si="11"/>
        <v>0</v>
      </c>
      <c r="E51" s="15">
        <f t="shared" si="12"/>
        <v>69.014898258512744</v>
      </c>
      <c r="F51" s="17">
        <f t="shared" si="13"/>
        <v>440</v>
      </c>
      <c r="G51" s="17">
        <f t="shared" si="14"/>
        <v>1638.1753169880685</v>
      </c>
      <c r="H51" s="17">
        <f t="shared" si="15"/>
        <v>2094</v>
      </c>
      <c r="I51" s="17">
        <f t="shared" si="16"/>
        <v>455.82468301193148</v>
      </c>
      <c r="J51" s="18" t="str">
        <f>IF(COUNTIF($I$33:I51,"&lt;0")&gt;0,"Stop","Plant")</f>
        <v>Stop</v>
      </c>
      <c r="K51" s="19">
        <f t="shared" si="17"/>
        <v>0</v>
      </c>
      <c r="L51" s="17">
        <f>SUM($G$33:G51)</f>
        <v>36679.97579548653</v>
      </c>
      <c r="M51" s="17">
        <f>L51/A51</f>
        <v>1930.525041867712</v>
      </c>
    </row>
    <row r="52" spans="1:13" x14ac:dyDescent="0.2">
      <c r="A52" s="14">
        <v>20</v>
      </c>
      <c r="B52" s="15">
        <f t="shared" si="9"/>
        <v>983.16986417423732</v>
      </c>
      <c r="C52" s="15">
        <f t="shared" si="10"/>
        <v>71.93925835421237</v>
      </c>
      <c r="D52" s="15">
        <f t="shared" si="11"/>
        <v>0</v>
      </c>
      <c r="E52" s="15">
        <f t="shared" si="12"/>
        <v>71.93925835421237</v>
      </c>
      <c r="F52" s="17">
        <f t="shared" si="13"/>
        <v>440</v>
      </c>
      <c r="G52" s="17">
        <f t="shared" si="14"/>
        <v>1688.9454575384091</v>
      </c>
      <c r="H52" s="17">
        <f t="shared" si="15"/>
        <v>2094</v>
      </c>
      <c r="I52" s="17">
        <f t="shared" si="16"/>
        <v>405.05454246159093</v>
      </c>
      <c r="J52" s="18" t="str">
        <f>IF(COUNTIF($I$33:I52,"&lt;0")&gt;0,"Stop","Plant")</f>
        <v>Stop</v>
      </c>
      <c r="K52" s="19">
        <f t="shared" si="17"/>
        <v>0</v>
      </c>
      <c r="L52" s="17">
        <f>SUM($G$33:G52)</f>
        <v>38368.921253024935</v>
      </c>
      <c r="M52" s="17">
        <f>L52/A52</f>
        <v>1918.4460626512468</v>
      </c>
    </row>
    <row r="53" spans="1:13" x14ac:dyDescent="0.2">
      <c r="A53" s="14">
        <v>21</v>
      </c>
      <c r="B53" s="15">
        <f>A53*CAR_HPB*WEEKS*(1+CAR_DIM)^A53</f>
        <v>1058.136566317522</v>
      </c>
      <c r="C53" s="15">
        <f>B53-B52</f>
        <v>74.96670214328549</v>
      </c>
      <c r="D53" s="15">
        <f>MAX(0,MIN(C53,PERM_HOURS-B52))</f>
        <v>0.0</v>
      </c>
      <c r="E53" s="15">
        <f>C53-D53</f>
        <v>74.96670214328549</v>
      </c>
      <c r="F53" s="17">
        <f>CAR_FERT</f>
        <v>440.0</v>
      </c>
      <c r="G53" s="17">
        <f>D53*PERM_RATE+E53*TEMP_RATE+F53</f>
        <v>1741.5052455431507</v>
      </c>
      <c r="H53" s="17">
        <f>CAR_PRICE</f>
        <v>2094.0</v>
      </c>
      <c r="I53" s="17">
        <f>H53-G53</f>
        <v>352.49475445684925</v>
      </c>
      <c r="J53" s="18" t="inlineStr">
        <is>
          <t>Past cap</t>
        </is>
      </c>
      <c r="L53" s="17">
        <f>SUM($G$33:G53)</f>
        <v>40110.426498568086</v>
      </c>
      <c r="M53" s="17">
        <f>L53/A53</f>
        <v>1910.0203094556232</v>
      </c>
    </row>
    <row r="55" spans="1:11" x14ac:dyDescent="0.2">
      <c r="A55" s="3" t="s">
        <v>79</v>
      </c>
    </row>
    <row r="56" spans="1:13" x14ac:dyDescent="0.2">
      <c r="A56" s="4" t="s">
        <v>67</v>
      </c>
      <c r="B56" s="4" t="s">
        <v>68</v>
      </c>
      <c r="C56" s="4" t="s">
        <v>69</v>
      </c>
      <c r="D56" s="4" t="s">
        <v>70</v>
      </c>
      <c r="E56" s="4" t="s">
        <v>71</v>
      </c>
      <c r="F56" s="4" t="s">
        <v>72</v>
      </c>
      <c r="G56" s="4" t="s">
        <v>73</v>
      </c>
      <c r="H56" s="4" t="s">
        <v>74</v>
      </c>
      <c r="I56" s="4" t="s">
        <v>75</v>
      </c>
      <c r="J56" s="4" t="s">
        <v>76</v>
      </c>
      <c r="K56" s="4" t="s">
        <v>77</v>
      </c>
      <c r="L56" s="4" t="inlineStr">
        <is>
          <t>Cumulative VC(q)</t>
        </is>
      </c>
      <c r="M56" s="4" t="inlineStr">
        <is>
          <t>AVC(q)</t>
        </is>
      </c>
    </row>
    <row r="57" spans="1:11" x14ac:dyDescent="0.2">
      <c r="A57" s="14">
        <v>0</v>
      </c>
      <c r="B57" s="15">
        <f t="shared" ref="B57:B87" si="18">A57*MES_HPB*WEEKS*(1+MES_DIM)^A57</f>
        <v>0</v>
      </c>
      <c r="C57" s="16"/>
      <c r="D57" s="16"/>
      <c r="E57" s="16"/>
      <c r="F57" s="16"/>
      <c r="G57" s="16"/>
      <c r="H57" s="16"/>
      <c r="I57" s="16"/>
      <c r="J57" s="16"/>
      <c r="K57" s="16"/>
    </row>
    <row r="58" spans="1:13" x14ac:dyDescent="0.2">
      <c r="A58" s="14">
        <v>1</v>
      </c>
      <c r="B58" s="15">
        <f t="shared" si="18"/>
        <v>45.5625</v>
      </c>
      <c r="C58" s="15">
        <f t="shared" ref="C58:C87" si="19">B58-B57</f>
        <v>45.5625</v>
      </c>
      <c r="D58" s="15">
        <f t="shared" ref="D58:D87" si="20">MAX(0,MIN(C58,PERM_HOURS-B57))</f>
        <v>45.5625</v>
      </c>
      <c r="E58" s="15">
        <f t="shared" ref="E58:E87" si="21">C58-D58</f>
        <v>0</v>
      </c>
      <c r="F58" s="17">
        <f t="shared" ref="F58:F87" si="22">MES_FERT</f>
        <v>880</v>
      </c>
      <c r="G58" s="17">
        <f t="shared" ref="G58:G87" si="23">D58*PERM_RATE+E58*TEMP_RATE+F58</f>
        <v>2462.03125</v>
      </c>
      <c r="H58" s="17">
        <f t="shared" ref="H58:H87" si="24">MES_PRICE</f>
        <v>2700</v>
      </c>
      <c r="I58" s="17">
        <f t="shared" ref="I58:I87" si="25">H58-G58</f>
        <v>237.96875</v>
      </c>
      <c r="J58" s="18" t="str">
        <f>IF(COUNTIF($I$58:I58,"&lt;0")&gt;0,"Stop","Plant")</f>
        <v>Plant</v>
      </c>
      <c r="K58" s="19">
        <f t="shared" ref="K58:K87" si="26">IF(A58&lt;2,0,IF(G58&lt;G57,1,0))</f>
        <v>0</v>
      </c>
      <c r="L58" s="17">
        <f>SUM($G$58:G58)</f>
        <v>2462.03125</v>
      </c>
      <c r="M58" s="17">
        <f>L58/A58</f>
        <v>2462.03125</v>
      </c>
    </row>
    <row r="59" spans="1:13" x14ac:dyDescent="0.2">
      <c r="A59" s="14">
        <v>2</v>
      </c>
      <c r="B59" s="15">
        <f t="shared" si="18"/>
        <v>92.264062499999994</v>
      </c>
      <c r="C59" s="15">
        <f t="shared" si="19"/>
        <v>46.701562499999994</v>
      </c>
      <c r="D59" s="15">
        <f t="shared" si="20"/>
        <v>46.701562499999994</v>
      </c>
      <c r="E59" s="15">
        <f t="shared" si="21"/>
        <v>0</v>
      </c>
      <c r="F59" s="17">
        <f t="shared" si="22"/>
        <v>880</v>
      </c>
      <c r="G59" s="17">
        <f t="shared" si="23"/>
        <v>2501.58203125</v>
      </c>
      <c r="H59" s="17">
        <f t="shared" si="24"/>
        <v>2700</v>
      </c>
      <c r="I59" s="17">
        <f t="shared" si="25"/>
        <v>198.41796875</v>
      </c>
      <c r="J59" s="18" t="str">
        <f>IF(COUNTIF($I$58:I59,"&lt;0")&gt;0,"Stop","Plant")</f>
        <v>Plant</v>
      </c>
      <c r="K59" s="19">
        <f t="shared" si="26"/>
        <v>0</v>
      </c>
      <c r="L59" s="17">
        <f>SUM($G$58:G59)</f>
        <v>4963.61328125</v>
      </c>
      <c r="M59" s="17">
        <f>L59/A59</f>
        <v>2481.806640625</v>
      </c>
    </row>
    <row r="60" spans="1:13" x14ac:dyDescent="0.2">
      <c r="A60" s="14">
        <v>3</v>
      </c>
      <c r="B60" s="15">
        <f t="shared" si="18"/>
        <v>140.12604492187498</v>
      </c>
      <c r="C60" s="15">
        <f t="shared" si="19"/>
        <v>47.861982421874984</v>
      </c>
      <c r="D60" s="15">
        <f t="shared" si="20"/>
        <v>47.861982421874984</v>
      </c>
      <c r="E60" s="15">
        <f t="shared" si="21"/>
        <v>0</v>
      </c>
      <c r="F60" s="17">
        <f t="shared" si="22"/>
        <v>880</v>
      </c>
      <c r="G60" s="17">
        <f t="shared" si="23"/>
        <v>2541.8743896484366</v>
      </c>
      <c r="H60" s="17">
        <f t="shared" si="24"/>
        <v>2700</v>
      </c>
      <c r="I60" s="17">
        <f t="shared" si="25"/>
        <v>158.12561035156341</v>
      </c>
      <c r="J60" s="18" t="str">
        <f>IF(COUNTIF($I$58:I60,"&lt;0")&gt;0,"Stop","Plant")</f>
        <v>Plant</v>
      </c>
      <c r="K60" s="19">
        <f t="shared" si="26"/>
        <v>0</v>
      </c>
      <c r="L60" s="17">
        <f>SUM($G$58:G60)</f>
        <v>7505.487670898437</v>
      </c>
      <c r="M60" s="17">
        <f>L60/A60</f>
        <v>2501.829223632812</v>
      </c>
    </row>
    <row r="61" spans="1:13" x14ac:dyDescent="0.2">
      <c r="A61" s="14">
        <v>4</v>
      </c>
      <c r="B61" s="15">
        <f t="shared" si="18"/>
        <v>189.17016064453125</v>
      </c>
      <c r="C61" s="15">
        <f t="shared" si="19"/>
        <v>49.044115722656272</v>
      </c>
      <c r="D61" s="15">
        <f t="shared" si="20"/>
        <v>49.044115722656272</v>
      </c>
      <c r="E61" s="15">
        <f t="shared" si="21"/>
        <v>0</v>
      </c>
      <c r="F61" s="17">
        <f t="shared" si="22"/>
        <v>880</v>
      </c>
      <c r="G61" s="17">
        <f t="shared" si="23"/>
        <v>2582.920684814454</v>
      </c>
      <c r="H61" s="17">
        <f t="shared" si="24"/>
        <v>2700</v>
      </c>
      <c r="I61" s="17">
        <f t="shared" si="25"/>
        <v>117.07931518554597</v>
      </c>
      <c r="J61" s="18" t="str">
        <f>IF(COUNTIF($I$58:I61,"&lt;0")&gt;0,"Stop","Plant")</f>
        <v>Plant</v>
      </c>
      <c r="K61" s="19">
        <f t="shared" si="26"/>
        <v>0</v>
      </c>
      <c r="L61" s="17">
        <f>SUM($G$58:G61)</f>
        <v>10088.408355712889</v>
      </c>
      <c r="M61" s="17">
        <f>L61/A61</f>
        <v>2522.102088928222</v>
      </c>
    </row>
    <row r="62" spans="1:13" x14ac:dyDescent="0.2">
      <c r="A62" s="14">
        <v>5</v>
      </c>
      <c r="B62" s="15">
        <f t="shared" si="18"/>
        <v>239.41848456573481</v>
      </c>
      <c r="C62" s="15">
        <f t="shared" si="19"/>
        <v>50.248323921203564</v>
      </c>
      <c r="D62" s="15">
        <f t="shared" si="20"/>
        <v>50.248323921203564</v>
      </c>
      <c r="E62" s="15">
        <f t="shared" si="21"/>
        <v>0</v>
      </c>
      <c r="F62" s="17">
        <f t="shared" si="22"/>
        <v>880</v>
      </c>
      <c r="G62" s="17">
        <f t="shared" si="23"/>
        <v>2624.7334694862348</v>
      </c>
      <c r="H62" s="17">
        <f t="shared" si="24"/>
        <v>2700</v>
      </c>
      <c r="I62" s="17">
        <f t="shared" si="25"/>
        <v>75.266530513765247</v>
      </c>
      <c r="J62" s="18" t="str">
        <f>IF(COUNTIF($I$58:I62,"&lt;0")&gt;0,"Stop","Plant")</f>
        <v>Plant</v>
      </c>
      <c r="K62" s="19">
        <f t="shared" si="26"/>
        <v>0</v>
      </c>
      <c r="L62" s="17">
        <f>SUM($G$58:G62)</f>
        <v>12713.141825199125</v>
      </c>
      <c r="M62" s="17">
        <f>L62/A62</f>
        <v>2542.628365039825</v>
      </c>
    </row>
    <row r="63" spans="1:13" x14ac:dyDescent="0.2">
      <c r="A63" s="14">
        <v>6</v>
      </c>
      <c r="B63" s="15">
        <f t="shared" si="18"/>
        <v>290.89345874736784</v>
      </c>
      <c r="C63" s="15">
        <f t="shared" si="19"/>
        <v>51.47497418163303</v>
      </c>
      <c r="D63" s="15">
        <f t="shared" si="20"/>
        <v>51.47497418163303</v>
      </c>
      <c r="E63" s="15">
        <f t="shared" si="21"/>
        <v>0</v>
      </c>
      <c r="F63" s="17">
        <f t="shared" si="22"/>
        <v>880</v>
      </c>
      <c r="G63" s="17">
        <f t="shared" si="23"/>
        <v>2667.3254924178136</v>
      </c>
      <c r="H63" s="17">
        <f t="shared" si="24"/>
        <v>2700</v>
      </c>
      <c r="I63" s="17">
        <f t="shared" si="25"/>
        <v>32.674507582186379</v>
      </c>
      <c r="J63" s="18" t="str">
        <f>IF(COUNTIF($I$58:I63,"&lt;0")&gt;0,"Stop","Plant")</f>
        <v>Plant</v>
      </c>
      <c r="K63" s="19">
        <f t="shared" si="26"/>
        <v>0</v>
      </c>
      <c r="L63" s="17">
        <f>SUM($G$58:G63)</f>
        <v>15380.467317616934</v>
      </c>
      <c r="M63" s="17">
        <f>L63/A63</f>
        <v>2563.4112196028223</v>
      </c>
    </row>
    <row r="64" spans="1:13" x14ac:dyDescent="0.2">
      <c r="A64" s="14">
        <v>7</v>
      </c>
      <c r="B64" s="15">
        <f t="shared" si="18"/>
        <v>343.61789814532818</v>
      </c>
      <c r="C64" s="15">
        <f t="shared" si="19"/>
        <v>52.724439397960339</v>
      </c>
      <c r="D64" s="15">
        <f t="shared" si="20"/>
        <v>52.724439397960339</v>
      </c>
      <c r="E64" s="15">
        <f t="shared" si="21"/>
        <v>0</v>
      </c>
      <c r="F64" s="17">
        <f t="shared" si="22"/>
        <v>880</v>
      </c>
      <c r="G64" s="17">
        <f t="shared" si="23"/>
        <v>2710.7097013180673</v>
      </c>
      <c r="H64" s="17">
        <f t="shared" si="24"/>
        <v>2700</v>
      </c>
      <c r="I64" s="17">
        <f t="shared" si="25"/>
        <v>-10.709701318067346</v>
      </c>
      <c r="J64" s="18" t="str">
        <f>IF(COUNTIF($I$58:I64,"&lt;0")&gt;0,"Stop","Plant")</f>
        <v>Stop</v>
      </c>
      <c r="K64" s="19">
        <f t="shared" si="26"/>
        <v>0</v>
      </c>
      <c r="L64" s="17">
        <f>SUM($G$58:G64)</f>
        <v>18091.177018935006</v>
      </c>
      <c r="M64" s="17">
        <f>L64/A64</f>
        <v>2584.453859847858</v>
      </c>
    </row>
    <row r="65" spans="1:13" x14ac:dyDescent="0.2">
      <c r="A65" s="14">
        <v>8</v>
      </c>
      <c r="B65" s="15">
        <f t="shared" si="18"/>
        <v>397.61499642530839</v>
      </c>
      <c r="C65" s="15">
        <f t="shared" si="19"/>
        <v>53.997098279980207</v>
      </c>
      <c r="D65" s="15">
        <f t="shared" si="20"/>
        <v>53.997098279980207</v>
      </c>
      <c r="E65" s="15">
        <f t="shared" si="21"/>
        <v>0</v>
      </c>
      <c r="F65" s="17">
        <f t="shared" si="22"/>
        <v>880</v>
      </c>
      <c r="G65" s="17">
        <f t="shared" si="23"/>
        <v>2754.8992458326461</v>
      </c>
      <c r="H65" s="17">
        <f t="shared" si="24"/>
        <v>2700</v>
      </c>
      <c r="I65" s="17">
        <f t="shared" si="25"/>
        <v>-54.899245832646102</v>
      </c>
      <c r="J65" s="18" t="str">
        <f>IF(COUNTIF($I$58:I65,"&lt;0")&gt;0,"Stop","Plant")</f>
        <v>Stop</v>
      </c>
      <c r="K65" s="19">
        <f t="shared" si="26"/>
        <v>0</v>
      </c>
      <c r="L65" s="17">
        <f>SUM($G$58:G65)</f>
        <v>20846.07626476765</v>
      </c>
      <c r="M65" s="17">
        <f>L65/A65</f>
        <v>2605.759533095956</v>
      </c>
    </row>
    <row r="66" spans="1:13" x14ac:dyDescent="0.2">
      <c r="A66" s="14">
        <v>9</v>
      </c>
      <c r="B66" s="15">
        <f t="shared" si="18"/>
        <v>452.90833186570285</v>
      </c>
      <c r="C66" s="15">
        <f t="shared" si="19"/>
        <v>55.293335440394458</v>
      </c>
      <c r="D66" s="15">
        <f t="shared" si="20"/>
        <v>55.293335440394458</v>
      </c>
      <c r="E66" s="15">
        <f t="shared" si="21"/>
        <v>0</v>
      </c>
      <c r="F66" s="17">
        <f t="shared" si="22"/>
        <v>880</v>
      </c>
      <c r="G66" s="17">
        <f t="shared" si="23"/>
        <v>2799.9074805692517</v>
      </c>
      <c r="H66" s="17">
        <f t="shared" si="24"/>
        <v>2700</v>
      </c>
      <c r="I66" s="17">
        <f t="shared" si="25"/>
        <v>-99.907480569251675</v>
      </c>
      <c r="J66" s="18" t="str">
        <f>IF(COUNTIF($I$58:I66,"&lt;0")&gt;0,"Stop","Plant")</f>
        <v>Stop</v>
      </c>
      <c r="K66" s="19">
        <f t="shared" si="26"/>
        <v>0</v>
      </c>
      <c r="L66" s="17">
        <f>SUM($G$58:G66)</f>
        <v>23645.9837453369</v>
      </c>
      <c r="M66" s="17">
        <f>L66/A66</f>
        <v>2627.3315272596556</v>
      </c>
    </row>
    <row r="67" spans="1:13" x14ac:dyDescent="0.2">
      <c r="A67" s="14">
        <v>10</v>
      </c>
      <c r="B67" s="15">
        <f t="shared" si="18"/>
        <v>509.52187334891573</v>
      </c>
      <c r="C67" s="15">
        <f t="shared" si="19"/>
        <v>56.613541483212884</v>
      </c>
      <c r="D67" s="15">
        <f t="shared" si="20"/>
        <v>56.613541483212884</v>
      </c>
      <c r="E67" s="15">
        <f t="shared" si="21"/>
        <v>0</v>
      </c>
      <c r="F67" s="17">
        <f t="shared" si="22"/>
        <v>880</v>
      </c>
      <c r="G67" s="17">
        <f t="shared" si="23"/>
        <v>2845.7479681671139</v>
      </c>
      <c r="H67" s="17">
        <f t="shared" si="24"/>
        <v>2700</v>
      </c>
      <c r="I67" s="17">
        <f t="shared" si="25"/>
        <v>-145.74796816711387</v>
      </c>
      <c r="J67" s="18" t="str">
        <f>IF(COUNTIF($I$58:I67,"&lt;0")&gt;0,"Stop","Plant")</f>
        <v>Stop</v>
      </c>
      <c r="K67" s="19">
        <f t="shared" si="26"/>
        <v>0</v>
      </c>
      <c r="L67" s="17">
        <f>SUM($G$58:G67)</f>
        <v>26491.73171350401</v>
      </c>
      <c r="M67" s="17">
        <f>L67/A67</f>
        <v>2649.173171350401</v>
      </c>
    </row>
    <row r="68" spans="1:13" x14ac:dyDescent="0.2">
      <c r="A68" s="14">
        <v>11</v>
      </c>
      <c r="B68" s="15">
        <f t="shared" si="18"/>
        <v>567.47998644235474</v>
      </c>
      <c r="C68" s="15">
        <f t="shared" si="19"/>
        <v>57.95811309343901</v>
      </c>
      <c r="D68" s="15">
        <f t="shared" si="20"/>
        <v>57.95811309343901</v>
      </c>
      <c r="E68" s="15">
        <f t="shared" si="21"/>
        <v>0</v>
      </c>
      <c r="F68" s="17">
        <f t="shared" si="22"/>
        <v>880</v>
      </c>
      <c r="G68" s="17">
        <f t="shared" si="23"/>
        <v>2892.4344824110767</v>
      </c>
      <c r="H68" s="17">
        <f t="shared" si="24"/>
        <v>2700</v>
      </c>
      <c r="I68" s="17">
        <f t="shared" si="25"/>
        <v>-192.43448241107671</v>
      </c>
      <c r="J68" s="18" t="str">
        <f>IF(COUNTIF($I$58:I68,"&lt;0")&gt;0,"Stop","Plant")</f>
        <v>Stop</v>
      </c>
      <c r="K68" s="19">
        <f t="shared" si="26"/>
        <v>0</v>
      </c>
      <c r="L68" s="17">
        <f>SUM($G$58:G68)</f>
        <v>29384.16619591509</v>
      </c>
      <c r="M68" s="17">
        <f>L68/A68</f>
        <v>2671.287835992281</v>
      </c>
    </row>
    <row r="69" spans="1:13" x14ac:dyDescent="0.2">
      <c r="A69" s="14">
        <v>12</v>
      </c>
      <c r="B69" s="15">
        <f t="shared" si="18"/>
        <v>626.80743957041921</v>
      </c>
      <c r="C69" s="15">
        <f t="shared" si="19"/>
        <v>59.327453128064462</v>
      </c>
      <c r="D69" s="15">
        <f t="shared" si="20"/>
        <v>59.327453128064462</v>
      </c>
      <c r="E69" s="15">
        <f t="shared" si="21"/>
        <v>0</v>
      </c>
      <c r="F69" s="17">
        <f t="shared" si="22"/>
        <v>880</v>
      </c>
      <c r="G69" s="17">
        <f t="shared" si="23"/>
        <v>2939.9810113911271</v>
      </c>
      <c r="H69" s="17">
        <f t="shared" si="24"/>
        <v>2700</v>
      </c>
      <c r="I69" s="17">
        <f t="shared" si="25"/>
        <v>-239.98101139112714</v>
      </c>
      <c r="J69" s="18" t="str">
        <f>IF(COUNTIF($I$58:I69,"&lt;0")&gt;0,"Stop","Plant")</f>
        <v>Stop</v>
      </c>
      <c r="K69" s="19">
        <f t="shared" si="26"/>
        <v>0</v>
      </c>
      <c r="L69" s="17">
        <f>SUM($G$58:G69)</f>
        <v>32324.147207306214</v>
      </c>
      <c r="M69" s="17">
        <f>L69/A69</f>
        <v>2693.6789339421844</v>
      </c>
    </row>
    <row r="70" spans="1:13" x14ac:dyDescent="0.2">
      <c r="A70" s="14">
        <v>13</v>
      </c>
      <c r="B70" s="15">
        <f t="shared" si="18"/>
        <v>687.52941027880343</v>
      </c>
      <c r="C70" s="15">
        <f t="shared" si="19"/>
        <v>60.72197070838422</v>
      </c>
      <c r="D70" s="15">
        <f t="shared" si="20"/>
        <v>60.72197070838422</v>
      </c>
      <c r="E70" s="15">
        <f t="shared" si="21"/>
        <v>0</v>
      </c>
      <c r="F70" s="17">
        <f t="shared" si="22"/>
        <v>880</v>
      </c>
      <c r="G70" s="17">
        <f t="shared" si="23"/>
        <v>2988.4017607077853</v>
      </c>
      <c r="H70" s="17">
        <f t="shared" si="24"/>
        <v>2700</v>
      </c>
      <c r="I70" s="17">
        <f t="shared" si="25"/>
        <v>-288.40176070778534</v>
      </c>
      <c r="J70" s="18" t="str">
        <f>IF(COUNTIF($I$58:I70,"&lt;0")&gt;0,"Stop","Plant")</f>
        <v>Stop</v>
      </c>
      <c r="K70" s="19">
        <f t="shared" si="26"/>
        <v>0</v>
      </c>
      <c r="L70" s="17">
        <f>SUM($G$58:G70)</f>
        <v>35312.548968014</v>
      </c>
      <c r="M70" s="17">
        <f>L70/A70</f>
        <v>2716.3499206164615</v>
      </c>
    </row>
    <row r="71" spans="1:13" x14ac:dyDescent="0.2">
      <c r="A71" s="14">
        <v>14</v>
      </c>
      <c r="B71" s="15">
        <f t="shared" si="18"/>
        <v>749.67149159246469</v>
      </c>
      <c r="C71" s="15">
        <f t="shared" si="19"/>
        <v>62.142081313661265</v>
      </c>
      <c r="D71" s="15">
        <f t="shared" si="20"/>
        <v>32.470589721196575</v>
      </c>
      <c r="E71" s="15">
        <f t="shared" si="21"/>
        <v>29.67149159246469</v>
      </c>
      <c r="F71" s="17">
        <f t="shared" si="22"/>
        <v>880</v>
      </c>
      <c r="G71" s="17">
        <f t="shared" si="23"/>
        <v>2522.5810943551705</v>
      </c>
      <c r="H71" s="17">
        <f t="shared" si="24"/>
        <v>2700</v>
      </c>
      <c r="I71" s="17">
        <f t="shared" si="25"/>
        <v>177.41890564482947</v>
      </c>
      <c r="J71" s="18" t="str">
        <f>IF(COUNTIF($I$58:I71,"&lt;0")&gt;0,"Stop","Plant")</f>
        <v>Stop</v>
      </c>
      <c r="K71" s="19">
        <f t="shared" si="26"/>
        <v>1</v>
      </c>
      <c r="L71" s="17">
        <f>SUM($G$58:G71)</f>
        <v>37835.13006236917</v>
      </c>
      <c r="M71" s="17">
        <f>L71/A71</f>
        <v>2702.5092901692265</v>
      </c>
    </row>
    <row r="72" spans="1:13" x14ac:dyDescent="0.2">
      <c r="A72" s="14">
        <v>15</v>
      </c>
      <c r="B72" s="15">
        <f t="shared" si="18"/>
        <v>813.25969846861108</v>
      </c>
      <c r="C72" s="15">
        <f t="shared" si="19"/>
        <v>63.588206876146387</v>
      </c>
      <c r="D72" s="15">
        <f t="shared" si="20"/>
        <v>0</v>
      </c>
      <c r="E72" s="15">
        <f t="shared" si="21"/>
        <v>63.588206876146387</v>
      </c>
      <c r="F72" s="17">
        <f t="shared" si="22"/>
        <v>880</v>
      </c>
      <c r="G72" s="17">
        <f t="shared" si="23"/>
        <v>1983.961924933097</v>
      </c>
      <c r="H72" s="17">
        <f t="shared" si="24"/>
        <v>2700</v>
      </c>
      <c r="I72" s="17">
        <f t="shared" si="25"/>
        <v>716.03807506690305</v>
      </c>
      <c r="J72" s="18" t="str">
        <f>IF(COUNTIF($I$58:I72,"&lt;0")&gt;0,"Stop","Plant")</f>
        <v>Stop</v>
      </c>
      <c r="K72" s="19">
        <f t="shared" si="26"/>
        <v>1</v>
      </c>
      <c r="L72" s="17">
        <f>SUM($G$58:G72)</f>
        <v>39819.091987302265</v>
      </c>
      <c r="M72" s="17">
        <f>L72/A72</f>
        <v>2654.606132486818</v>
      </c>
    </row>
    <row r="73" spans="1:13" x14ac:dyDescent="0.2">
      <c r="A73" s="14">
        <v>16</v>
      </c>
      <c r="B73" s="15">
        <f t="shared" si="18"/>
        <v>878.32047434610013</v>
      </c>
      <c r="C73" s="15">
        <f t="shared" si="19"/>
        <v>65.06077587748905</v>
      </c>
      <c r="D73" s="15">
        <f t="shared" si="20"/>
        <v>0</v>
      </c>
      <c r="E73" s="15">
        <f t="shared" si="21"/>
        <v>65.06077587748905</v>
      </c>
      <c r="F73" s="17">
        <f t="shared" si="22"/>
        <v>880</v>
      </c>
      <c r="G73" s="17">
        <f t="shared" si="23"/>
        <v>2009.527358984185</v>
      </c>
      <c r="H73" s="17">
        <f t="shared" si="24"/>
        <v>2700</v>
      </c>
      <c r="I73" s="17">
        <f t="shared" si="25"/>
        <v>690.47264101581504</v>
      </c>
      <c r="J73" s="18" t="str">
        <f>IF(COUNTIF($I$58:I73,"&lt;0")&gt;0,"Stop","Plant")</f>
        <v>Stop</v>
      </c>
      <c r="K73" s="19">
        <f t="shared" si="26"/>
        <v>0</v>
      </c>
      <c r="L73" s="17">
        <f>SUM($G$58:G73)</f>
        <v>41828.61934628645</v>
      </c>
      <c r="M73" s="17">
        <f>L73/A73</f>
        <v>2614.288709142903</v>
      </c>
    </row>
    <row r="74" spans="1:13" x14ac:dyDescent="0.2">
      <c r="A74" s="14">
        <v>17</v>
      </c>
      <c r="B74" s="15">
        <f t="shared" si="18"/>
        <v>944.88069779264049</v>
      </c>
      <c r="C74" s="15">
        <f t="shared" si="19"/>
        <v>66.560223446540363</v>
      </c>
      <c r="D74" s="15">
        <f t="shared" si="20"/>
        <v>0</v>
      </c>
      <c r="E74" s="15">
        <f t="shared" si="21"/>
        <v>66.560223446540363</v>
      </c>
      <c r="F74" s="17">
        <f t="shared" si="22"/>
        <v>880</v>
      </c>
      <c r="G74" s="17">
        <f t="shared" si="23"/>
        <v>2035.5594348357702</v>
      </c>
      <c r="H74" s="17">
        <f t="shared" si="24"/>
        <v>2700</v>
      </c>
      <c r="I74" s="17">
        <f t="shared" si="25"/>
        <v>664.44056516422984</v>
      </c>
      <c r="J74" s="18" t="str">
        <f>IF(COUNTIF($I$58:I74,"&lt;0")&gt;0,"Stop","Plant")</f>
        <v>Stop</v>
      </c>
      <c r="K74" s="19">
        <f t="shared" si="26"/>
        <v>0</v>
      </c>
      <c r="L74" s="17">
        <f>SUM($G$58:G74)</f>
        <v>43864.17878112222</v>
      </c>
      <c r="M74" s="17">
        <f>L74/A74</f>
        <v>2580.245810654248</v>
      </c>
    </row>
    <row r="75" spans="1:13" x14ac:dyDescent="0.2">
      <c r="A75" s="14">
        <v>18</v>
      </c>
      <c r="B75" s="15">
        <f t="shared" si="18"/>
        <v>1012.9676892512279</v>
      </c>
      <c r="C75" s="15">
        <f t="shared" si="19"/>
        <v>68.086991458587363</v>
      </c>
      <c r="D75" s="15">
        <f t="shared" si="20"/>
        <v>0</v>
      </c>
      <c r="E75" s="15">
        <f t="shared" si="21"/>
        <v>68.086991458587363</v>
      </c>
      <c r="F75" s="17">
        <f t="shared" si="22"/>
        <v>880</v>
      </c>
      <c r="G75" s="17">
        <f t="shared" si="23"/>
        <v>2062.0658239338081</v>
      </c>
      <c r="H75" s="17">
        <f t="shared" si="24"/>
        <v>2700</v>
      </c>
      <c r="I75" s="17">
        <f t="shared" si="25"/>
        <v>637.93417606619187</v>
      </c>
      <c r="J75" s="18" t="str">
        <f>IF(COUNTIF($I$58:I75,"&lt;0")&gt;0,"Stop","Plant")</f>
        <v>Stop</v>
      </c>
      <c r="K75" s="19">
        <f t="shared" si="26"/>
        <v>0</v>
      </c>
      <c r="L75" s="17">
        <f>SUM($G$58:G75)</f>
        <v>45926.244605056025</v>
      </c>
      <c r="M75" s="17">
        <f>L75/A75</f>
        <v>2551.4580336142235</v>
      </c>
    </row>
    <row r="76" spans="1:13" x14ac:dyDescent="0.2">
      <c r="A76" s="14">
        <v>19</v>
      </c>
      <c r="B76" s="15">
        <f t="shared" si="18"/>
        <v>1082.6092178872495</v>
      </c>
      <c r="C76" s="15">
        <f t="shared" si="19"/>
        <v>69.64152863602169</v>
      </c>
      <c r="D76" s="15">
        <f t="shared" si="20"/>
        <v>0</v>
      </c>
      <c r="E76" s="15">
        <f t="shared" si="21"/>
        <v>69.64152863602169</v>
      </c>
      <c r="F76" s="17">
        <f t="shared" si="22"/>
        <v>880</v>
      </c>
      <c r="G76" s="17">
        <f t="shared" si="23"/>
        <v>2089.0543165975987</v>
      </c>
      <c r="H76" s="17">
        <f t="shared" si="24"/>
        <v>2700</v>
      </c>
      <c r="I76" s="17">
        <f t="shared" si="25"/>
        <v>610.9456834024013</v>
      </c>
      <c r="J76" s="18" t="str">
        <f>IF(COUNTIF($I$58:I76,"&lt;0")&gt;0,"Stop","Plant")</f>
        <v>Stop</v>
      </c>
      <c r="K76" s="19">
        <f t="shared" si="26"/>
        <v>0</v>
      </c>
      <c r="L76" s="17">
        <f>SUM($G$58:G76)</f>
        <v>48015.29892165363</v>
      </c>
      <c r="M76" s="17">
        <f>L76/A76</f>
        <v>2527.1209958765066</v>
      </c>
    </row>
    <row r="77" spans="1:13" x14ac:dyDescent="0.2">
      <c r="A77" s="14">
        <v>20</v>
      </c>
      <c r="B77" s="15">
        <f t="shared" si="18"/>
        <v>1153.8335085377266</v>
      </c>
      <c r="C77" s="15">
        <f t="shared" si="19"/>
        <v>71.224290650477087</v>
      </c>
      <c r="D77" s="15">
        <f t="shared" si="20"/>
        <v>0</v>
      </c>
      <c r="E77" s="15">
        <f t="shared" si="21"/>
        <v>71.224290650477087</v>
      </c>
      <c r="F77" s="17">
        <f t="shared" si="22"/>
        <v>880</v>
      </c>
      <c r="G77" s="17">
        <f t="shared" si="23"/>
        <v>2116.5328237930053</v>
      </c>
      <c r="H77" s="17">
        <f t="shared" si="24"/>
        <v>2700</v>
      </c>
      <c r="I77" s="17">
        <f t="shared" si="25"/>
        <v>583.46717620699474</v>
      </c>
      <c r="J77" s="18" t="str">
        <f>IF(COUNTIF($I$58:I77,"&lt;0")&gt;0,"Stop","Plant")</f>
        <v>Stop</v>
      </c>
      <c r="K77" s="19">
        <f t="shared" si="26"/>
        <v>0</v>
      </c>
      <c r="L77" s="17">
        <f>SUM($G$58:G77)</f>
        <v>50131.83174544663</v>
      </c>
      <c r="M77" s="17">
        <f>L77/A77</f>
        <v>2506.5915872723317</v>
      </c>
    </row>
    <row r="78" spans="1:13" x14ac:dyDescent="0.2">
      <c r="A78" s="14">
        <v>21</v>
      </c>
      <c r="B78" s="15">
        <f t="shared" si="18"/>
        <v>1226.6692487641703</v>
      </c>
      <c r="C78" s="15">
        <f t="shared" si="19"/>
        <v>72.835740226443704</v>
      </c>
      <c r="D78" s="15">
        <f t="shared" si="20"/>
        <v>0</v>
      </c>
      <c r="E78" s="15">
        <f t="shared" si="21"/>
        <v>72.835740226443704</v>
      </c>
      <c r="F78" s="17">
        <f t="shared" si="22"/>
        <v>880</v>
      </c>
      <c r="G78" s="17">
        <f t="shared" si="23"/>
        <v>2144.5093789313141</v>
      </c>
      <c r="H78" s="17">
        <f t="shared" si="24"/>
        <v>2700</v>
      </c>
      <c r="I78" s="17">
        <f t="shared" si="25"/>
        <v>555.49062106868587</v>
      </c>
      <c r="J78" s="18" t="str">
        <f>IF(COUNTIF($I$58:I78,"&lt;0")&gt;0,"Stop","Plant")</f>
        <v>Stop</v>
      </c>
      <c r="K78" s="19">
        <f t="shared" si="26"/>
        <v>0</v>
      </c>
      <c r="L78" s="17">
        <f>SUM($G$58:G78)</f>
        <v>52276.34112437795</v>
      </c>
      <c r="M78" s="17">
        <f>L78/A78</f>
        <v>2489.349577351331</v>
      </c>
    </row>
    <row r="79" spans="1:13" x14ac:dyDescent="0.2">
      <c r="A79" s="14">
        <v>22</v>
      </c>
      <c r="B79" s="15">
        <f t="shared" si="18"/>
        <v>1301.1455960105666</v>
      </c>
      <c r="C79" s="15">
        <f t="shared" si="19"/>
        <v>74.476347246396244</v>
      </c>
      <c r="D79" s="15">
        <f t="shared" si="20"/>
        <v>0</v>
      </c>
      <c r="E79" s="15">
        <f t="shared" si="21"/>
        <v>74.476347246396244</v>
      </c>
      <c r="F79" s="17">
        <f t="shared" si="22"/>
        <v>880</v>
      </c>
      <c r="G79" s="17">
        <f t="shared" si="23"/>
        <v>2172.9921396943791</v>
      </c>
      <c r="H79" s="17">
        <f t="shared" si="24"/>
        <v>2700</v>
      </c>
      <c r="I79" s="17">
        <f t="shared" si="25"/>
        <v>527.00786030562085</v>
      </c>
      <c r="J79" s="18" t="str">
        <f>IF(COUNTIF($I$58:I79,"&lt;0")&gt;0,"Stop","Plant")</f>
        <v>Stop</v>
      </c>
      <c r="K79" s="19">
        <f t="shared" si="26"/>
        <v>0</v>
      </c>
      <c r="L79" s="17">
        <f>SUM($G$58:G79)</f>
        <v>54449.333264072324</v>
      </c>
      <c r="M79" s="17">
        <f>L79/A79</f>
        <v>2474.9696938214693</v>
      </c>
    </row>
    <row r="80" spans="1:13" x14ac:dyDescent="0.2">
      <c r="A80" s="14">
        <v>23</v>
      </c>
      <c r="B80" s="15">
        <f t="shared" si="18"/>
        <v>1377.292184868003</v>
      </c>
      <c r="C80" s="15">
        <f t="shared" si="19"/>
        <v>76.146588857436427</v>
      </c>
      <c r="D80" s="15">
        <f t="shared" si="20"/>
        <v>0</v>
      </c>
      <c r="E80" s="15">
        <f t="shared" si="21"/>
        <v>76.146588857436427</v>
      </c>
      <c r="F80" s="17">
        <f t="shared" si="22"/>
        <v>880</v>
      </c>
      <c r="G80" s="17">
        <f t="shared" si="23"/>
        <v>2201.9893898860491</v>
      </c>
      <c r="H80" s="17">
        <f t="shared" si="24"/>
        <v>2700</v>
      </c>
      <c r="I80" s="17">
        <f t="shared" si="25"/>
        <v>498.01061011395086</v>
      </c>
      <c r="J80" s="18" t="str">
        <f>IF(COUNTIF($I$58:I80,"&lt;0")&gt;0,"Stop","Plant")</f>
        <v>Stop</v>
      </c>
      <c r="K80" s="19">
        <f t="shared" si="26"/>
        <v>0</v>
      </c>
      <c r="L80" s="17">
        <f>SUM($G$58:G80)</f>
        <v>56651.32265395837</v>
      </c>
      <c r="M80" s="17">
        <f>L80/A80</f>
        <v>2463.1009849547117</v>
      </c>
    </row>
    <row r="81" spans="1:13" x14ac:dyDescent="0.2">
      <c r="A81" s="14">
        <v>24</v>
      </c>
      <c r="B81" s="15">
        <f t="shared" si="18"/>
        <v>1455.1391344474989</v>
      </c>
      <c r="C81" s="15">
        <f t="shared" si="19"/>
        <v>77.846949579495913</v>
      </c>
      <c r="D81" s="15">
        <f t="shared" si="20"/>
        <v>0</v>
      </c>
      <c r="E81" s="15">
        <f t="shared" si="21"/>
        <v>77.846949579495913</v>
      </c>
      <c r="F81" s="17">
        <f t="shared" si="22"/>
        <v>880</v>
      </c>
      <c r="G81" s="17">
        <f t="shared" si="23"/>
        <v>2231.5095413106928</v>
      </c>
      <c r="H81" s="17">
        <f t="shared" si="24"/>
        <v>2700</v>
      </c>
      <c r="I81" s="17">
        <f t="shared" si="25"/>
        <v>468.49045868930716</v>
      </c>
      <c r="J81" s="18" t="str">
        <f>IF(COUNTIF($I$58:I81,"&lt;0")&gt;0,"Stop","Plant")</f>
        <v>Stop</v>
      </c>
      <c r="K81" s="19">
        <f t="shared" si="26"/>
        <v>0</v>
      </c>
      <c r="L81" s="17">
        <f>SUM($G$58:G81)</f>
        <v>58882.83219526906</v>
      </c>
      <c r="M81" s="17">
        <f>L81/A81</f>
        <v>2453.4513414695443</v>
      </c>
    </row>
    <row r="82" spans="1:13" x14ac:dyDescent="0.2">
      <c r="A82" s="14">
        <v>25</v>
      </c>
      <c r="B82" s="15">
        <f t="shared" si="18"/>
        <v>1534.7170558625965</v>
      </c>
      <c r="C82" s="15">
        <f t="shared" si="19"/>
        <v>79.577921415097535</v>
      </c>
      <c r="D82" s="15">
        <f t="shared" si="20"/>
        <v>0</v>
      </c>
      <c r="E82" s="15">
        <f t="shared" si="21"/>
        <v>79.577921415097535</v>
      </c>
      <c r="F82" s="17">
        <f t="shared" si="22"/>
        <v>880</v>
      </c>
      <c r="G82" s="17">
        <f t="shared" si="23"/>
        <v>2261.5611356787767</v>
      </c>
      <c r="H82" s="17">
        <f t="shared" si="24"/>
        <v>2700</v>
      </c>
      <c r="I82" s="17">
        <f t="shared" si="25"/>
        <v>438.43886432122326</v>
      </c>
      <c r="J82" s="18" t="str">
        <f>IF(COUNTIF($I$58:I82,"&lt;0")&gt;0,"Stop","Plant")</f>
        <v>Stop</v>
      </c>
      <c r="K82" s="19">
        <f t="shared" si="26"/>
        <v>0</v>
      </c>
      <c r="L82" s="17">
        <f>SUM($G$58:G82)</f>
        <v>61144.39333094784</v>
      </c>
      <c r="M82" s="17">
        <f>L82/A82</f>
        <v>2445.7757332379133</v>
      </c>
    </row>
    <row r="83" spans="1:13" x14ac:dyDescent="0.2">
      <c r="A83" s="14">
        <v>26</v>
      </c>
      <c r="B83" s="15">
        <f t="shared" si="18"/>
        <v>1616.0570598233144</v>
      </c>
      <c r="C83" s="15">
        <f t="shared" si="19"/>
        <v>81.340003960717922</v>
      </c>
      <c r="D83" s="15">
        <f t="shared" si="20"/>
        <v>0</v>
      </c>
      <c r="E83" s="15">
        <f t="shared" si="21"/>
        <v>81.340003960717922</v>
      </c>
      <c r="F83" s="17">
        <f t="shared" si="22"/>
        <v>880</v>
      </c>
      <c r="G83" s="17">
        <f t="shared" si="23"/>
        <v>2292.1528465402416</v>
      </c>
      <c r="H83" s="17">
        <f t="shared" si="24"/>
        <v>2700</v>
      </c>
      <c r="I83" s="17">
        <f t="shared" si="25"/>
        <v>407.84715345975837</v>
      </c>
      <c r="J83" s="18" t="str">
        <f>IF(COUNTIF($I$58:I83,"&lt;0")&gt;0,"Stop","Plant")</f>
        <v>Stop</v>
      </c>
      <c r="K83" s="19">
        <f t="shared" si="26"/>
        <v>0</v>
      </c>
      <c r="L83" s="17">
        <f>SUM($G$58:G83)</f>
        <v>63436.54617748807</v>
      </c>
      <c r="M83" s="17">
        <f>L83/A83</f>
        <v>2439.867160672618</v>
      </c>
    </row>
    <row r="84" spans="1:13" x14ac:dyDescent="0.2">
      <c r="A84" s="14">
        <v>27</v>
      </c>
      <c r="B84" s="15">
        <f t="shared" si="18"/>
        <v>1699.1907643430709</v>
      </c>
      <c r="C84" s="15">
        <f t="shared" si="19"/>
        <v>83.13370451975652</v>
      </c>
      <c r="D84" s="15">
        <f t="shared" si="20"/>
        <v>0</v>
      </c>
      <c r="E84" s="15">
        <f t="shared" si="21"/>
        <v>83.13370451975652</v>
      </c>
      <c r="F84" s="17">
        <f t="shared" si="22"/>
        <v>880</v>
      </c>
      <c r="G84" s="17">
        <f t="shared" si="23"/>
        <v>2323.2934812457729</v>
      </c>
      <c r="H84" s="17">
        <f t="shared" si="24"/>
        <v>2700</v>
      </c>
      <c r="I84" s="17">
        <f t="shared" si="25"/>
        <v>376.70651875422709</v>
      </c>
      <c r="J84" s="18" t="str">
        <f>IF(COUNTIF($I$58:I84,"&lt;0")&gt;0,"Stop","Plant")</f>
        <v>Stop</v>
      </c>
      <c r="K84" s="19">
        <f t="shared" si="26"/>
        <v>0</v>
      </c>
      <c r="L84" s="17">
        <f>SUM($G$58:G84)</f>
        <v>65759.83965873385</v>
      </c>
      <c r="M84" s="17">
        <f>L84/A84</f>
        <v>2435.5496169901426</v>
      </c>
    </row>
    <row r="85" spans="1:13" x14ac:dyDescent="0.2">
      <c r="A85" s="14">
        <v>28</v>
      </c>
      <c r="B85" s="15">
        <f t="shared" si="18"/>
        <v>1784.1503025602246</v>
      </c>
      <c r="C85" s="15">
        <f t="shared" si="19"/>
        <v>84.959538217153749</v>
      </c>
      <c r="D85" s="15">
        <f t="shared" si="20"/>
        <v>0</v>
      </c>
      <c r="E85" s="15">
        <f t="shared" si="21"/>
        <v>84.959538217153749</v>
      </c>
      <c r="F85" s="17">
        <f t="shared" si="22"/>
        <v>880</v>
      </c>
      <c r="G85" s="17">
        <f t="shared" si="23"/>
        <v>2354.9919829366972</v>
      </c>
      <c r="H85" s="17">
        <f t="shared" si="24"/>
        <v>2700</v>
      </c>
      <c r="I85" s="17">
        <f t="shared" si="25"/>
        <v>345.00801706330276</v>
      </c>
      <c r="J85" s="18" t="str">
        <f>IF(COUNTIF($I$58:I85,"&lt;0")&gt;0,"Stop","Plant")</f>
        <v>Stop</v>
      </c>
      <c r="K85" s="19">
        <f t="shared" si="26"/>
        <v>0</v>
      </c>
      <c r="L85" s="17">
        <f>SUM($G$58:G85)</f>
        <v>68114.83164167053</v>
      </c>
      <c r="M85" s="17">
        <f>L85/A85</f>
        <v>2432.6725586310904</v>
      </c>
    </row>
    <row r="86" spans="1:13" x14ac:dyDescent="0.2">
      <c r="A86" s="14">
        <v>29</v>
      </c>
      <c r="B86" s="15">
        <f t="shared" si="18"/>
        <v>1870.9683306758782</v>
      </c>
      <c r="C86" s="15">
        <f t="shared" si="19"/>
        <v>86.818028115653533</v>
      </c>
      <c r="D86" s="15">
        <f t="shared" si="20"/>
        <v>0</v>
      </c>
      <c r="E86" s="15">
        <f t="shared" si="21"/>
        <v>86.818028115653533</v>
      </c>
      <c r="F86" s="17">
        <f t="shared" si="22"/>
        <v>880</v>
      </c>
      <c r="G86" s="17">
        <f t="shared" si="23"/>
        <v>2387.2574325634296</v>
      </c>
      <c r="H86" s="17">
        <f t="shared" si="24"/>
        <v>2700</v>
      </c>
      <c r="I86" s="17">
        <f t="shared" si="25"/>
        <v>312.74256743657043</v>
      </c>
      <c r="J86" s="18" t="str">
        <f>IF(COUNTIF($I$58:I86,"&lt;0")&gt;0,"Stop","Plant")</f>
        <v>Stop</v>
      </c>
      <c r="K86" s="19">
        <f t="shared" si="26"/>
        <v>0</v>
      </c>
      <c r="L86" s="17">
        <f>SUM($G$58:G86)</f>
        <v>70502.08907423395</v>
      </c>
      <c r="M86" s="17">
        <f>L86/A86</f>
        <v>2431.1065198011706</v>
      </c>
    </row>
    <row r="87" spans="1:13" x14ac:dyDescent="0.2">
      <c r="A87" s="14">
        <v>30</v>
      </c>
      <c r="B87" s="15">
        <f t="shared" si="18"/>
        <v>1959.6780360096488</v>
      </c>
      <c r="C87" s="15">
        <f t="shared" si="19"/>
        <v>88.709705333770671</v>
      </c>
      <c r="D87" s="15">
        <f t="shared" si="20"/>
        <v>0</v>
      </c>
      <c r="E87" s="15">
        <f t="shared" si="21"/>
        <v>88.709705333770671</v>
      </c>
      <c r="F87" s="17">
        <f t="shared" si="22"/>
        <v>880</v>
      </c>
      <c r="G87" s="17">
        <f t="shared" si="23"/>
        <v>2420.0990509335188</v>
      </c>
      <c r="H87" s="17">
        <f t="shared" si="24"/>
        <v>2700</v>
      </c>
      <c r="I87" s="17">
        <f t="shared" si="25"/>
        <v>279.90094906648119</v>
      </c>
      <c r="J87" s="18" t="str">
        <f>IF(COUNTIF($I$58:I87,"&lt;0")&gt;0,"Stop","Plant")</f>
        <v>Stop</v>
      </c>
      <c r="K87" s="19">
        <f t="shared" si="26"/>
        <v>0</v>
      </c>
      <c r="L87" s="17">
        <f>SUM($G$58:G87)</f>
        <v>72922.18812516746</v>
      </c>
      <c r="M87" s="17">
        <f>L87/A87</f>
        <v>2430.7396041722486</v>
      </c>
    </row>
    <row r="88" spans="1:13" x14ac:dyDescent="0.2">
      <c r="A88" s="14">
        <v>31</v>
      </c>
      <c r="B88" s="15">
        <f>A88*MES_HPB*WEEKS*(1+MES_DIM)^A88</f>
        <v>2050.313145175093</v>
      </c>
      <c r="C88" s="15">
        <f>B88-B87</f>
        <v>90.63510916544624</v>
      </c>
      <c r="D88" s="15">
        <f>MAX(0,MIN(C88,PERM_HOURS-B87))</f>
        <v>0.0</v>
      </c>
      <c r="E88" s="15">
        <f>C88-D88</f>
        <v>90.63510916544624</v>
      </c>
      <c r="F88" s="17">
        <f>MES_FERT</f>
        <v>880.0</v>
      </c>
      <c r="G88" s="17">
        <f>D88*PERM_RATE+E88*TEMP_RATE+F88</f>
        <v>2453.526200788997</v>
      </c>
      <c r="H88" s="17">
        <f>MES_PRICE</f>
        <v>2700.0</v>
      </c>
      <c r="I88" s="17">
        <f>H88-G88</f>
        <v>246.4737992110031</v>
      </c>
      <c r="J88" s="18" t="inlineStr">
        <is>
          <t>Past cap</t>
        </is>
      </c>
      <c r="L88" s="17">
        <f>SUM($G$58:G88)</f>
        <v>75375.71432595646</v>
      </c>
      <c r="M88" s="17">
        <f>L88/A88</f>
        <v>2431.474655676015</v>
      </c>
    </row>
    <row r="90" spans="1:11" x14ac:dyDescent="0.2">
      <c r="A90" s="3" t="s">
        <v>80</v>
      </c>
    </row>
    <row r="91" spans="1:11" x14ac:dyDescent="0.2">
      <c r="A91" s="4" t="s">
        <v>81</v>
      </c>
      <c r="B91" s="4" t="s">
        <v>4</v>
      </c>
      <c r="C91" s="4" t="s">
        <v>5</v>
      </c>
      <c r="D91" s="4" t="s">
        <v>82</v>
      </c>
    </row>
    <row r="92" spans="1:11" x14ac:dyDescent="0.2">
      <c r="A92" s="5" t="s">
        <v>83</v>
      </c>
      <c r="B92" s="20">
        <f>COUNTIF($J$8:$J$27,"Plant")</f>
        <v>10</v>
      </c>
      <c r="C92" t="s">
        <v>25</v>
      </c>
      <c r="D92" s="2" t="s">
        <v>84</v>
      </c>
    </row>
    <row r="93" spans="1:11" x14ac:dyDescent="0.2">
      <c r="A93" s="5" t="s">
        <v>85</v>
      </c>
      <c r="B93" s="20">
        <f>COUNTIF($J$33:$J$52,"Plant")</f>
        <v>10</v>
      </c>
      <c r="C93" t="s">
        <v>25</v>
      </c>
      <c r="D93" s="2" t="s">
        <v>84</v>
      </c>
    </row>
    <row r="94" spans="1:11" x14ac:dyDescent="0.2">
      <c r="A94" s="5" t="s">
        <v>86</v>
      </c>
      <c r="B94" s="20">
        <f>COUNTIF($J$58:$J$87,"Plant")</f>
        <v>6</v>
      </c>
      <c r="C94" t="s">
        <v>25</v>
      </c>
      <c r="D94" s="2" t="s">
        <v>84</v>
      </c>
    </row>
    <row r="95" spans="1:11" x14ac:dyDescent="0.2">
      <c r="A95" s="5" t="s">
        <v>87</v>
      </c>
      <c r="B95" s="20">
        <f>INDEX($A$8:$A$27,MATCH(1,$K$8:$K$27,0))</f>
        <v>6</v>
      </c>
      <c r="C95" t="s">
        <v>88</v>
      </c>
      <c r="D95" s="2" t="s">
        <v>89</v>
      </c>
    </row>
    <row r="96" spans="1:11" x14ac:dyDescent="0.2">
      <c r="A96" s="5" t="s">
        <v>90</v>
      </c>
      <c r="B96" s="21">
        <f>INDEX($G$8:$G$27,MATCH(1,$K$8:$K$27,0)-1)-INDEX($G$8:$G$27,MATCH(1,$K$8:$K$27,0))</f>
        <v>2754.5843749999976</v>
      </c>
      <c r="C96" t="s">
        <v>91</v>
      </c>
      <c r="D96" s="2" t="s">
        <v>92</v>
      </c>
    </row>
  </sheetData>
  <conditionalFormatting sqref="J8:J27">
    <cfRule type="cellIs" dxfId="21" priority="1" operator="equal">
      <formula>"Plant"</formula>
    </cfRule>
    <cfRule type="cellIs" dxfId="20" priority="2" operator="equal">
      <formula>"Stop"</formula>
    </cfRule>
  </conditionalFormatting>
  <conditionalFormatting sqref="J33:J52">
    <cfRule type="cellIs" dxfId="19" priority="3" operator="equal">
      <formula>"Plant"</formula>
    </cfRule>
    <cfRule type="cellIs" dxfId="18" priority="4" operator="equal">
      <formula>"Stop"</formula>
    </cfRule>
  </conditionalFormatting>
  <conditionalFormatting sqref="J58:J87">
    <cfRule type="cellIs" dxfId="17" priority="5" operator="equal">
      <formula>"Plant"</formula>
    </cfRule>
    <cfRule type="cellIs" dxfId="16" priority="6" operator="equal">
      <formula>"Stop"</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8"/>
  <sheetViews>
    <sheetView topLeftCell="A3" workbookViewId="0">
      <selection activeCell="B39" sqref="B39"/>
    </sheetView>
  </sheetViews>
  <sheetFormatPr baseColWidth="10" defaultColWidth="8.83203125" defaultRowHeight="15" x14ac:dyDescent="0.2"/>
  <cols>
    <col min="1" max="1" width="30" customWidth="1"/>
    <col min="2" max="2" width="20" customWidth="1"/>
    <col min="3" max="3" width="14" customWidth="1"/>
    <col min="4" max="4" width="78" customWidth="1"/>
    <col min="5" max="5" width="20" customWidth="1"/>
    <col min="6" max="6" width="22" customWidth="1"/>
    <col min="7" max="7" width="20" customWidth="1"/>
  </cols>
  <sheetData>
    <row r="1" spans="1:4" ht="19" x14ac:dyDescent="0.25">
      <c r="A1" s="1" t="s">
        <v>93</v>
      </c>
    </row>
    <row r="2" spans="1:4" x14ac:dyDescent="0.2">
      <c r="A2" s="2" t="s">
        <v>94</v>
      </c>
    </row>
    <row r="4" spans="1:4" x14ac:dyDescent="0.2">
      <c r="A4" s="3" t="s">
        <v>95</v>
      </c>
    </row>
    <row r="5" spans="1:4" x14ac:dyDescent="0.2">
      <c r="A5" s="4" t="s">
        <v>81</v>
      </c>
      <c r="B5" s="4" t="s">
        <v>4</v>
      </c>
      <c r="C5" s="4" t="s">
        <v>5</v>
      </c>
      <c r="D5" s="4" t="s">
        <v>96</v>
      </c>
    </row>
    <row r="6" spans="1:4" x14ac:dyDescent="0.2">
      <c r="A6" s="5" t="s">
        <v>97</v>
      </c>
      <c r="B6" s="20">
        <f>TOM_BEDS</f>
        <v>10</v>
      </c>
      <c r="C6" t="s">
        <v>25</v>
      </c>
      <c r="D6" s="2" t="s">
        <v>98</v>
      </c>
    </row>
    <row r="7" spans="1:4" x14ac:dyDescent="0.2">
      <c r="A7" s="5" t="s">
        <v>99</v>
      </c>
      <c r="B7" s="20">
        <f>CAR_BEDS</f>
        <v>20</v>
      </c>
      <c r="C7" t="s">
        <v>25</v>
      </c>
      <c r="D7" s="2" t="s">
        <v>100</v>
      </c>
    </row>
    <row r="8" spans="1:4" x14ac:dyDescent="0.2">
      <c r="A8" s="5" t="s">
        <v>101</v>
      </c>
      <c r="B8" s="20">
        <f>MES_BEDS</f>
        <v>30</v>
      </c>
      <c r="C8" t="s">
        <v>25</v>
      </c>
      <c r="D8" s="2" t="s">
        <v>102</v>
      </c>
    </row>
    <row r="9" spans="1:4" x14ac:dyDescent="0.2">
      <c r="A9" s="5" t="s">
        <v>103</v>
      </c>
      <c r="B9" s="20">
        <f>OUT_TOM_BEDS+OUT_CAR_BEDS+OUT_MES_BEDS</f>
        <v>60</v>
      </c>
      <c r="C9" t="s">
        <v>25</v>
      </c>
      <c r="D9" s="2" t="s">
        <v>104</v>
      </c>
    </row>
    <row r="10" spans="1:4" x14ac:dyDescent="0.2">
      <c r="A10" s="5" t="s">
        <v>105</v>
      </c>
      <c r="B10" s="20">
        <f>FARM_BED_CAP-OUT_BEDS_USED</f>
        <v>4</v>
      </c>
      <c r="C10" t="s">
        <v>25</v>
      </c>
      <c r="D10" s="2" t="s">
        <v>106</v>
      </c>
    </row>
    <row r="12" spans="1:4" x14ac:dyDescent="0.2">
      <c r="A12" s="3" t="s">
        <v>107</v>
      </c>
    </row>
    <row r="13" spans="1:4" x14ac:dyDescent="0.2">
      <c r="A13" s="4" t="s">
        <v>81</v>
      </c>
      <c r="B13" s="4" t="s">
        <v>4</v>
      </c>
      <c r="C13" s="4" t="s">
        <v>5</v>
      </c>
      <c r="D13" s="4" t="s">
        <v>96</v>
      </c>
    </row>
    <row r="14" spans="1:4" x14ac:dyDescent="0.2">
      <c r="A14" t="s">
        <v>108</v>
      </c>
      <c r="B14" s="15">
        <f>TOM_BEDS*TOM_HPB*WEEKS*(1+TOM_DIM)^TOM_BEDS</f>
        <v>2334.3682140900019</v>
      </c>
      <c r="C14" t="s">
        <v>109</v>
      </c>
      <c r="D14" s="2" t="s">
        <v>110</v>
      </c>
    </row>
    <row r="15" spans="1:4" x14ac:dyDescent="0.2">
      <c r="A15" t="s">
        <v>111</v>
      </c>
      <c r="B15" s="15">
        <f>CAR_BEDS*CAR_HPB*WEEKS*(1+CAR_DIM)^CAR_BEDS</f>
        <v>983.16986417423732</v>
      </c>
      <c r="C15" t="s">
        <v>109</v>
      </c>
      <c r="D15" s="2" t="s">
        <v>110</v>
      </c>
    </row>
    <row r="16" spans="1:4" x14ac:dyDescent="0.2">
      <c r="A16" t="s">
        <v>112</v>
      </c>
      <c r="B16" s="15">
        <f>MES_BEDS*MES_HPB*WEEKS*(1+MES_DIM)^MES_BEDS</f>
        <v>1959.6780360096488</v>
      </c>
      <c r="C16" t="s">
        <v>109</v>
      </c>
      <c r="D16" s="2" t="s">
        <v>110</v>
      </c>
    </row>
    <row r="17" spans="1:4" x14ac:dyDescent="0.2">
      <c r="A17" s="5" t="s">
        <v>113</v>
      </c>
      <c r="B17" s="22">
        <f>B14+B15+B16</f>
        <v>5277.2161142738878</v>
      </c>
      <c r="C17" t="s">
        <v>109</v>
      </c>
      <c r="D17" s="2" t="s">
        <v>114</v>
      </c>
    </row>
    <row r="18" spans="1:4" x14ac:dyDescent="0.2">
      <c r="A18" s="5" t="s">
        <v>115</v>
      </c>
      <c r="B18" s="22">
        <f>MIN(OUT_TOTAL_HOURS,PERM_HOURS)</f>
        <v>720</v>
      </c>
      <c r="C18" t="s">
        <v>109</v>
      </c>
      <c r="D18" s="2" t="s">
        <v>116</v>
      </c>
    </row>
    <row r="19" spans="1:4" x14ac:dyDescent="0.2">
      <c r="A19" s="5" t="s">
        <v>117</v>
      </c>
      <c r="B19" s="22">
        <f>MAX(0,OUT_TOTAL_HOURS-PERM_HOURS)</f>
        <v>4557.2161142738878</v>
      </c>
      <c r="C19" t="s">
        <v>109</v>
      </c>
      <c r="D19" s="2" t="s">
        <v>118</v>
      </c>
    </row>
    <row r="20" spans="1:4" x14ac:dyDescent="0.2">
      <c r="A20" s="5" t="s">
        <v>119</v>
      </c>
      <c r="B20" s="20">
        <f>ROUNDUP(OUT_TEMP_HOURS/TEMP_WORKER_HRS,0)</f>
        <v>4</v>
      </c>
      <c r="C20" t="s">
        <v>21</v>
      </c>
      <c r="D20" s="2" t="s">
        <v>120</v>
      </c>
    </row>
    <row r="21" spans="1:4" x14ac:dyDescent="0.2">
      <c r="A21" t="s">
        <v>121</v>
      </c>
      <c r="B21" s="17">
        <f>OUT_PERM_HOURS*PERM_RATE</f>
        <v>25000</v>
      </c>
      <c r="C21" t="s">
        <v>91</v>
      </c>
      <c r="D21" s="2" t="s">
        <v>122</v>
      </c>
    </row>
    <row r="22" spans="1:4" x14ac:dyDescent="0.2">
      <c r="A22" t="s">
        <v>123</v>
      </c>
      <c r="B22" s="17">
        <f>OUT_TEMP_HOURS*TEMP_RATE</f>
        <v>79118.335317254998</v>
      </c>
      <c r="C22" t="s">
        <v>91</v>
      </c>
      <c r="D22" s="2" t="s">
        <v>124</v>
      </c>
    </row>
    <row r="23" spans="1:4" x14ac:dyDescent="0.2">
      <c r="A23" s="5" t="s">
        <v>125</v>
      </c>
      <c r="B23" s="13">
        <f>IF(OUT_TOTAL_HOURS=0,0,OUT_LABOR_COST/OUT_TOTAL_HOURS)</f>
        <v>19.729784239010844</v>
      </c>
      <c r="C23" t="s">
        <v>59</v>
      </c>
      <c r="D23" s="2" t="s">
        <v>126</v>
      </c>
    </row>
    <row r="25" spans="1:4" x14ac:dyDescent="0.2">
      <c r="A25" s="3" t="s">
        <v>127</v>
      </c>
    </row>
    <row r="26" spans="1:4" x14ac:dyDescent="0.2">
      <c r="A26" s="4" t="s">
        <v>81</v>
      </c>
      <c r="B26" s="4" t="s">
        <v>4</v>
      </c>
      <c r="C26" s="4" t="s">
        <v>5</v>
      </c>
      <c r="D26" s="4" t="s">
        <v>96</v>
      </c>
    </row>
    <row r="27" spans="1:4" x14ac:dyDescent="0.2">
      <c r="A27" s="5" t="s">
        <v>128</v>
      </c>
      <c r="B27" s="21">
        <f>SUM(OUT_CROP_REVENUE)</f>
        <v>210880</v>
      </c>
      <c r="C27" t="s">
        <v>91</v>
      </c>
      <c r="D27" s="2" t="s">
        <v>129</v>
      </c>
    </row>
    <row r="28" spans="1:4" x14ac:dyDescent="0.2">
      <c r="A28" s="5" t="s">
        <v>130</v>
      </c>
      <c r="B28" s="21">
        <f>B21+B22</f>
        <v>104118.335317255</v>
      </c>
      <c r="C28" t="s">
        <v>91</v>
      </c>
      <c r="D28" s="2" t="s">
        <v>131</v>
      </c>
    </row>
    <row r="29" spans="1:4" x14ac:dyDescent="0.2">
      <c r="A29" s="5" t="s">
        <v>132</v>
      </c>
      <c r="B29" s="21">
        <f>SUM(OUT_CROP_FERT_COST)</f>
        <v>44000</v>
      </c>
      <c r="C29" t="s">
        <v>91</v>
      </c>
      <c r="D29" s="2" t="s">
        <v>133</v>
      </c>
    </row>
    <row r="30" spans="1:4" x14ac:dyDescent="0.2">
      <c r="A30" s="5" t="s">
        <v>134</v>
      </c>
      <c r="B30" s="21">
        <f>FIXED_COST</f>
        <v>20000</v>
      </c>
      <c r="C30" t="s">
        <v>91</v>
      </c>
      <c r="D30" s="2" t="s">
        <v>135</v>
      </c>
    </row>
    <row r="31" spans="1:4" x14ac:dyDescent="0.2">
      <c r="A31" s="5" t="s">
        <v>136</v>
      </c>
      <c r="B31" s="21">
        <f>OUT_LABOR_COST+OUT_FERT_COST+OUT_FIXED_COST</f>
        <v>168118.335317255</v>
      </c>
      <c r="C31" t="s">
        <v>91</v>
      </c>
      <c r="D31" s="2" t="s">
        <v>137</v>
      </c>
    </row>
    <row r="32" spans="1:4" x14ac:dyDescent="0.2">
      <c r="A32" s="5" t="s">
        <v>138</v>
      </c>
      <c r="B32" s="23">
        <f>OUT_REVENUE-OUT_TOTAL_COST</f>
        <v>42761.664682745002</v>
      </c>
      <c r="C32" t="s">
        <v>91</v>
      </c>
      <c r="D32" s="2" t="s">
        <v>139</v>
      </c>
    </row>
    <row r="34" spans="1:7" x14ac:dyDescent="0.2">
      <c r="A34" s="3" t="s">
        <v>140</v>
      </c>
    </row>
    <row r="35" spans="1:7" x14ac:dyDescent="0.2">
      <c r="A35" s="2" t="s">
        <v>141</v>
      </c>
    </row>
    <row r="36" spans="1:7" x14ac:dyDescent="0.2">
      <c r="A36" s="4" t="s">
        <v>142</v>
      </c>
      <c r="B36" s="4">
        <v>10</v>
      </c>
      <c r="C36" s="4" t="s">
        <v>143</v>
      </c>
      <c r="D36" s="4" t="s">
        <v>144</v>
      </c>
      <c r="E36" s="4" t="s">
        <v>145</v>
      </c>
      <c r="F36" s="4" t="s">
        <v>146</v>
      </c>
      <c r="G36" s="4" t="s">
        <v>147</v>
      </c>
    </row>
    <row r="37" spans="1:7" x14ac:dyDescent="0.2">
      <c r="A37" s="24" t="s">
        <v>148</v>
      </c>
      <c r="B37" s="14">
        <f>TOM_BEDS</f>
        <v>10</v>
      </c>
      <c r="C37" s="15">
        <f>B14</f>
        <v>2334.3682140900019</v>
      </c>
      <c r="D37" s="17">
        <f>TOM_BEDS*TOM_PRICE</f>
        <v>88000</v>
      </c>
      <c r="E37" s="17">
        <f>TOM_BEDS*TOM_FERT</f>
        <v>8800</v>
      </c>
      <c r="F37" s="17">
        <f>C37*OUT_BLENDED_RATE</f>
        <v>46056.581198400811</v>
      </c>
      <c r="G37" s="17">
        <f>D37-E37-F37</f>
        <v>33143.418801599189</v>
      </c>
    </row>
    <row r="38" spans="1:7" x14ac:dyDescent="0.2">
      <c r="A38" s="24" t="s">
        <v>149</v>
      </c>
      <c r="B38" s="14">
        <f>CAR_BEDS</f>
        <v>20</v>
      </c>
      <c r="C38" s="15">
        <f>B15</f>
        <v>983.16986417423732</v>
      </c>
      <c r="D38" s="17">
        <f>CAR_BEDS*CAR_PRICE</f>
        <v>41880</v>
      </c>
      <c r="E38" s="17">
        <f>CAR_BEDS*CAR_FERT</f>
        <v>8800</v>
      </c>
      <c r="F38" s="17">
        <f>C38*OUT_BLENDED_RATE</f>
        <v>19397.7292904553</v>
      </c>
      <c r="G38" s="17">
        <f>D38-E38-F38</f>
        <v>13682.2707095447</v>
      </c>
    </row>
    <row r="39" spans="1:7" x14ac:dyDescent="0.2">
      <c r="A39" s="24" t="s">
        <v>150</v>
      </c>
      <c r="B39" s="14">
        <f>MES_BEDS</f>
        <v>30</v>
      </c>
      <c r="C39" s="15">
        <f>B16</f>
        <v>1959.6780360096488</v>
      </c>
      <c r="D39" s="17">
        <f>MES_BEDS*MES_PRICE</f>
        <v>81000</v>
      </c>
      <c r="E39" s="17">
        <f>MES_BEDS*MES_FERT</f>
        <v>26400</v>
      </c>
      <c r="F39" s="17">
        <f>C39*OUT_BLENDED_RATE</f>
        <v>38664.024828398891</v>
      </c>
      <c r="G39" s="17">
        <f>D39-E39-F39</f>
        <v>15935.975171601109</v>
      </c>
    </row>
    <row r="40" spans="1:7" x14ac:dyDescent="0.2">
      <c r="A40" s="5" t="s">
        <v>151</v>
      </c>
      <c r="B40" s="25">
        <f t="shared" ref="B40:G40" si="0">SUM(B37:B39)</f>
        <v>60</v>
      </c>
      <c r="C40" s="26">
        <f t="shared" si="0"/>
        <v>5277.2161142738878</v>
      </c>
      <c r="D40" s="27">
        <f t="shared" si="0"/>
        <v>210880</v>
      </c>
      <c r="E40" s="27">
        <f t="shared" si="0"/>
        <v>44000</v>
      </c>
      <c r="F40" s="27">
        <f t="shared" si="0"/>
        <v>104118.335317255</v>
      </c>
      <c r="G40" s="27">
        <f t="shared" si="0"/>
        <v>62761.664682745002</v>
      </c>
    </row>
    <row r="41" spans="1:7" x14ac:dyDescent="0.2">
      <c r="A41" t="s">
        <v>152</v>
      </c>
      <c r="G41" s="17">
        <f>-OUT_FIXED_COST</f>
        <v>-20000</v>
      </c>
    </row>
    <row r="42" spans="1:7" x14ac:dyDescent="0.2">
      <c r="A42" s="5" t="s">
        <v>153</v>
      </c>
      <c r="G42" s="28">
        <f>G40+G41</f>
        <v>42761.664682745002</v>
      </c>
    </row>
    <row r="44" spans="1:7" x14ac:dyDescent="0.2">
      <c r="A44" s="5" t="s">
        <v>154</v>
      </c>
      <c r="B44" s="29" t="str">
        <f>IF(AND(ABS(SUM(OUT_CROP_LABOR_COST)-OUT_LABOR_COST)&lt;0.000001,ABS(SUM(OUT_CROP_PROFIT)-OUT_FIXED_COST-OUT_SEASON_PROFIT)&lt;0.000001),"OK","VIOLATED")</f>
        <v>OK</v>
      </c>
      <c r="D44" s="2" t="s">
        <v>155</v>
      </c>
    </row>
    <row r="46" spans="1:7" x14ac:dyDescent="0.2">
      <c r="A46" s="3" t="s">
        <v>156</v>
      </c>
    </row>
    <row r="47" spans="1:7" x14ac:dyDescent="0.2">
      <c r="A47" s="5" t="s">
        <v>157</v>
      </c>
      <c r="B47" t="s">
        <v>158</v>
      </c>
    </row>
    <row r="48" spans="1:7" x14ac:dyDescent="0.2">
      <c r="A48" s="5" t="s">
        <v>159</v>
      </c>
      <c r="B48" t="s">
        <v>160</v>
      </c>
    </row>
    <row r="49" spans="1:2" x14ac:dyDescent="0.2">
      <c r="A49" s="5" t="s">
        <v>161</v>
      </c>
      <c r="B49" t="s">
        <v>162</v>
      </c>
    </row>
    <row r="50" spans="1:2" x14ac:dyDescent="0.2">
      <c r="A50" s="5" t="s">
        <v>163</v>
      </c>
      <c r="B50" t="s">
        <v>164</v>
      </c>
    </row>
    <row r="51" spans="1:2" x14ac:dyDescent="0.2">
      <c r="A51" s="5" t="s">
        <v>165</v>
      </c>
      <c r="B51" t="s">
        <v>166</v>
      </c>
    </row>
    <row r="52" spans="1:2" x14ac:dyDescent="0.2">
      <c r="A52" s="5" t="s">
        <v>167</v>
      </c>
      <c r="B52" t="s">
        <v>168</v>
      </c>
    </row>
    <row r="53" spans="1:2" x14ac:dyDescent="0.2">
      <c r="A53" s="5" t="s">
        <v>169</v>
      </c>
      <c r="B53" t="s">
        <v>170</v>
      </c>
    </row>
    <row r="54" spans="1:2" x14ac:dyDescent="0.2">
      <c r="A54" s="5" t="s">
        <v>171</v>
      </c>
      <c r="B54" t="s">
        <v>172</v>
      </c>
    </row>
    <row r="55" spans="1:2" x14ac:dyDescent="0.2">
      <c r="A55" s="5" t="s">
        <v>173</v>
      </c>
      <c r="B55" t="s">
        <v>174</v>
      </c>
    </row>
    <row r="56" spans="1:2" x14ac:dyDescent="0.2">
      <c r="A56" s="5" t="s">
        <v>175</v>
      </c>
      <c r="B56" t="s">
        <v>176</v>
      </c>
    </row>
    <row r="57" spans="1:2" x14ac:dyDescent="0.2">
      <c r="A57" s="5" t="s">
        <v>177</v>
      </c>
      <c r="B57" t="s">
        <v>178</v>
      </c>
    </row>
    <row r="58" spans="1:2" x14ac:dyDescent="0.2">
      <c r="A58" s="5" t="s">
        <v>179</v>
      </c>
      <c r="B58" t="s">
        <v>180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8"/>
  <sheetViews>
    <sheetView tabSelected="1" workbookViewId="0">
      <selection activeCell="A32" sqref="A31:B32"/>
    </sheetView>
  </sheetViews>
  <sheetFormatPr baseColWidth="10" defaultColWidth="8.83203125" defaultRowHeight="15" x14ac:dyDescent="0.2"/>
  <cols>
    <col min="1" max="1" width="46" customWidth="1"/>
    <col min="2" max="2" width="22" customWidth="1"/>
    <col min="3" max="3" width="56" customWidth="1"/>
    <col min="4" max="4" width="86" customWidth="1"/>
  </cols>
  <sheetData>
    <row r="1" spans="1:4" ht="19" x14ac:dyDescent="0.25">
      <c r="A1" s="1" t="s">
        <v>181</v>
      </c>
    </row>
    <row r="2" spans="1:4" x14ac:dyDescent="0.2">
      <c r="A2" s="2" t="s">
        <v>182</v>
      </c>
    </row>
    <row r="4" spans="1:4" x14ac:dyDescent="0.2">
      <c r="A4" s="3" t="s">
        <v>183</v>
      </c>
    </row>
    <row r="5" spans="1:4" x14ac:dyDescent="0.2">
      <c r="A5" s="4" t="s">
        <v>184</v>
      </c>
      <c r="B5" s="4" t="s">
        <v>185</v>
      </c>
      <c r="C5" s="4" t="s">
        <v>186</v>
      </c>
      <c r="D5" s="4" t="s">
        <v>187</v>
      </c>
    </row>
    <row r="6" spans="1:4" x14ac:dyDescent="0.2">
      <c r="A6" t="s">
        <v>188</v>
      </c>
      <c r="B6" s="30" t="str">
        <f>IF(TOM_BEDS&lt;=TOM_CAP,"OK","VIOLATED")</f>
        <v>OK</v>
      </c>
      <c r="C6" t="s">
        <v>189</v>
      </c>
      <c r="D6" s="2"/>
    </row>
    <row r="7" spans="1:4" x14ac:dyDescent="0.2">
      <c r="A7" t="s">
        <v>190</v>
      </c>
      <c r="B7" s="30" t="str">
        <f>IF(CAR_BEDS&lt;=CAR_CAP,"OK","VIOLATED")</f>
        <v>OK</v>
      </c>
      <c r="C7" t="s">
        <v>191</v>
      </c>
      <c r="D7" s="2"/>
    </row>
    <row r="8" spans="1:4" x14ac:dyDescent="0.2">
      <c r="A8" t="s">
        <v>192</v>
      </c>
      <c r="B8" s="30" t="str">
        <f>IF(MES_BEDS&lt;=MES_CAP,"OK","VIOLATED")</f>
        <v>OK</v>
      </c>
      <c r="C8" t="s">
        <v>193</v>
      </c>
      <c r="D8" s="2"/>
    </row>
    <row r="9" spans="1:4" x14ac:dyDescent="0.2">
      <c r="A9" t="s">
        <v>194</v>
      </c>
      <c r="B9" s="30" t="str">
        <f>IF(OUT_BEDS_USED&lt;=FARM_BED_CAP,"OK","VIOLATED")</f>
        <v>OK</v>
      </c>
      <c r="C9" t="s">
        <v>195</v>
      </c>
      <c r="D9" s="2"/>
    </row>
    <row r="10" spans="1:4" x14ac:dyDescent="0.2">
      <c r="A10" t="s">
        <v>196</v>
      </c>
      <c r="B10" s="30" t="str">
        <f>IF(OUT_TEMP_WORKERS&lt;=TEMP_WORKERS_MAX,"OK","VIOLATED")</f>
        <v>OK</v>
      </c>
      <c r="C10" t="s">
        <v>197</v>
      </c>
      <c r="D10" s="2"/>
    </row>
    <row r="11" spans="1:4" x14ac:dyDescent="0.2">
      <c r="A11" t="s">
        <v>198</v>
      </c>
      <c r="B11" s="30" t="str">
        <f>IF(AND(TOM_BEDS=INT(TOM_BEDS),CAR_BEDS=INT(CAR_BEDS),MES_BEDS=INT(MES_BEDS)),"OK","VIOLATED")</f>
        <v>OK</v>
      </c>
      <c r="C11" t="s">
        <v>199</v>
      </c>
      <c r="D11" s="2"/>
    </row>
    <row r="12" spans="1:4" x14ac:dyDescent="0.2">
      <c r="A12" t="s">
        <v>200</v>
      </c>
      <c r="B12" s="30" t="str">
        <f>IF(AND(TOM_BEDS&gt;=0,CAR_BEDS&gt;=0,MES_BEDS&gt;=0),"OK","VIOLATED")</f>
        <v>OK</v>
      </c>
      <c r="C12" t="s">
        <v>201</v>
      </c>
      <c r="D12" s="2"/>
    </row>
    <row r="14" spans="1:4" x14ac:dyDescent="0.2">
      <c r="A14" s="5" t="s">
        <v>202</v>
      </c>
      <c r="B14" s="31" t="str">
        <f>IF(COUNTIF($B$6:$B$12,"VIOLATED")=0,"OK","VIOLATED")</f>
        <v>OK</v>
      </c>
      <c r="D14" s="2" t="s">
        <v>203</v>
      </c>
    </row>
    <row r="16" spans="1:4" x14ac:dyDescent="0.2">
      <c r="A16" s="3" t="s">
        <v>204</v>
      </c>
    </row>
    <row r="17" spans="1:4" x14ac:dyDescent="0.2">
      <c r="A17" s="4" t="s">
        <v>205</v>
      </c>
      <c r="B17" s="4" t="s">
        <v>206</v>
      </c>
      <c r="C17" s="4" t="s">
        <v>207</v>
      </c>
      <c r="D17" s="4" t="s">
        <v>187</v>
      </c>
    </row>
    <row r="18" spans="1:4" x14ac:dyDescent="0.2">
      <c r="A18" t="s">
        <v>208</v>
      </c>
      <c r="B18" s="15">
        <f>INDEX('Marginal Analysis'!$B$8:$B$27,1)</f>
        <v>99.000000000000014</v>
      </c>
      <c r="C18" s="32">
        <v>99</v>
      </c>
      <c r="D18" s="2" t="s">
        <v>209</v>
      </c>
    </row>
    <row r="19" spans="1:4" x14ac:dyDescent="0.2">
      <c r="A19" t="s">
        <v>210</v>
      </c>
      <c r="B19" s="30" t="str">
        <f>IF(ABS(B18-C18)&lt;0.000000001,"OK","VIOLATED")</f>
        <v>OK</v>
      </c>
      <c r="C19" t="s">
        <v>211</v>
      </c>
      <c r="D19" s="2"/>
    </row>
    <row r="21" spans="1:4" x14ac:dyDescent="0.2">
      <c r="A21" s="3" t="s">
        <v>212</v>
      </c>
    </row>
    <row r="22" spans="1:4" x14ac:dyDescent="0.2">
      <c r="A22" s="2" t="s">
        <v>213</v>
      </c>
    </row>
    <row r="23" spans="1:4" x14ac:dyDescent="0.2">
      <c r="A23" s="4" t="s">
        <v>205</v>
      </c>
      <c r="B23" s="4" t="s">
        <v>4</v>
      </c>
      <c r="C23" s="4" t="s">
        <v>207</v>
      </c>
      <c r="D23" s="4" t="s">
        <v>187</v>
      </c>
    </row>
    <row r="24" spans="1:4" x14ac:dyDescent="0.2">
      <c r="A24" t="s">
        <v>214</v>
      </c>
      <c r="B24" s="17">
        <f>INDEX('Marginal Analysis'!$G$8:$G$27,10)</f>
        <v>8248.586534375012</v>
      </c>
      <c r="D24" s="2" t="s">
        <v>215</v>
      </c>
    </row>
    <row r="25" spans="1:4" x14ac:dyDescent="0.2">
      <c r="A25" t="s">
        <v>216</v>
      </c>
      <c r="B25" s="33">
        <v>8248.59</v>
      </c>
      <c r="D25" s="2" t="s">
        <v>217</v>
      </c>
    </row>
    <row r="26" spans="1:4" x14ac:dyDescent="0.2">
      <c r="A26" t="s">
        <v>218</v>
      </c>
      <c r="B26" s="30" t="str">
        <f>IF(AND(ISNUMBER(B25),ROUND(B24,0)=ROUND(B25,0)),"OK","VIOLATED")</f>
        <v>OK</v>
      </c>
      <c r="C26" t="s">
        <v>219</v>
      </c>
      <c r="D26" s="2"/>
    </row>
    <row r="28" spans="1:4" x14ac:dyDescent="0.2">
      <c r="A28" s="3" t="s">
        <v>220</v>
      </c>
    </row>
    <row r="29" spans="1:4" x14ac:dyDescent="0.2">
      <c r="A29" s="2" t="s">
        <v>221</v>
      </c>
    </row>
    <row r="30" spans="1:4" x14ac:dyDescent="0.2">
      <c r="A30" s="4" t="s">
        <v>205</v>
      </c>
      <c r="B30" s="4" t="s">
        <v>4</v>
      </c>
      <c r="C30" s="4" t="s">
        <v>207</v>
      </c>
      <c r="D30" s="4" t="s">
        <v>187</v>
      </c>
    </row>
    <row r="31" spans="1:4" x14ac:dyDescent="0.2">
      <c r="A31" t="s">
        <v>222</v>
      </c>
      <c r="B31" s="33">
        <v>42761.66</v>
      </c>
    </row>
    <row r="32" spans="1:4" x14ac:dyDescent="0.2">
      <c r="A32" t="s">
        <v>223</v>
      </c>
      <c r="B32" s="33">
        <v>42761.66</v>
      </c>
      <c r="D32" s="2" t="s">
        <v>224</v>
      </c>
    </row>
    <row r="33" spans="1:4" x14ac:dyDescent="0.2">
      <c r="A33" t="s">
        <v>225</v>
      </c>
      <c r="B33" s="30" t="str">
        <f>IF(AND(ISNUMBER(B31),ISNUMBER(B32),ROUND(B31,0)=ROUND(B32,0)),"OK","VIOLATED")</f>
        <v>OK</v>
      </c>
      <c r="C33" t="s">
        <v>226</v>
      </c>
      <c r="D33" s="2"/>
    </row>
    <row r="35" spans="1:4" x14ac:dyDescent="0.2">
      <c r="A35" s="3" t="s">
        <v>227</v>
      </c>
    </row>
    <row r="36" spans="1:4" x14ac:dyDescent="0.2">
      <c r="A36" s="4" t="s">
        <v>185</v>
      </c>
      <c r="B36" s="4" t="s">
        <v>228</v>
      </c>
      <c r="C36" s="4" t="s">
        <v>229</v>
      </c>
      <c r="D36" s="4" t="s">
        <v>187</v>
      </c>
    </row>
    <row r="37" spans="1:4" x14ac:dyDescent="0.2">
      <c r="A37" t="s">
        <v>230</v>
      </c>
      <c r="B37" s="30" t="str">
        <f>IF(AND(OUT_TOM_BEDS=10,OUT_CAR_BEDS=20,OUT_MES_BEDS=30),"OK","VIOLATED")</f>
        <v>OK</v>
      </c>
      <c r="C37" t="s">
        <v>231</v>
      </c>
      <c r="D37" s="2" t="str">
        <f>"Model: "&amp;OUT_TOM_BEDS&amp;" / "&amp;OUT_CAR_BEDS&amp;" / "&amp;OUT_MES_BEDS</f>
        <v>Model: 10 / 20 / 30</v>
      </c>
    </row>
    <row r="38" spans="1:4" x14ac:dyDescent="0.2">
      <c r="A38" t="s">
        <v>232</v>
      </c>
      <c r="B38" s="30" t="str">
        <f>IF(AND(ROUND(OUT_SEASON_PROFIT,0)=42762,OUT_SEASON_PROFIT&lt;=42762),"OK","VIOLATED")</f>
        <v>OK</v>
      </c>
      <c r="C38" t="s">
        <v>233</v>
      </c>
      <c r="D38" s="2" t="str">
        <f>"Model: "&amp;TEXT(OUT_SEASON_PROFIT,"$#,##0.00")</f>
        <v>Model: $42,761.66</v>
      </c>
    </row>
    <row r="39" spans="1:4" x14ac:dyDescent="0.2">
      <c r="A39" t="s">
        <v>234</v>
      </c>
      <c r="B39" s="30" t="str">
        <f>IF(AND(OUT_CROSSING_TOM=10,OUT_CROSSING_CAR=10,OUT_CROSSING_MES=6),"OK","VIOLATED")</f>
        <v>OK</v>
      </c>
      <c r="C39" t="s">
        <v>235</v>
      </c>
      <c r="D39" s="2" t="str">
        <f>"Model: "&amp;OUT_CROSSING_TOM&amp;" / "&amp;OUT_CROSSING_CAR&amp;" / "&amp;OUT_CROSSING_MES</f>
        <v>Model: 10 / 10 / 6</v>
      </c>
    </row>
    <row r="41" spans="1:4" x14ac:dyDescent="0.2">
      <c r="A41" s="3" t="s">
        <v>236</v>
      </c>
    </row>
    <row r="42" spans="1:4" x14ac:dyDescent="0.2">
      <c r="A42" s="4" t="s">
        <v>185</v>
      </c>
      <c r="B42" s="4" t="s">
        <v>228</v>
      </c>
      <c r="C42" s="4" t="s">
        <v>229</v>
      </c>
      <c r="D42" s="4" t="s">
        <v>187</v>
      </c>
    </row>
    <row r="43" spans="1:4" x14ac:dyDescent="0.2">
      <c r="A43" t="s">
        <v>237</v>
      </c>
      <c r="B43" s="30" t="str">
        <f>IF(SUMPRODUCT(--ISERROR('Marginal Analysis'!$B$8:$K$27))+SUMPRODUCT(--ISERROR('Marginal Analysis'!$B$33:$K$52))+SUMPRODUCT(--ISERROR('Marginal Analysis'!$B$58:$K$87))+SUMPRODUCT(--ISERROR(Optimization!$B$5:$B$32))+SUMPRODUCT(--ISERROR(Optimization!$B$37:$G$39))=0,"OK","VIOLATED")</f>
        <v>OK</v>
      </c>
      <c r="C43" t="s">
        <v>238</v>
      </c>
      <c r="D43" s="2" t="str">
        <f>"Error cells found: "&amp;(SUMPRODUCT(--ISERROR('Marginal Analysis'!$B$8:$K$27))+SUMPRODUCT(--ISERROR('Marginal Analysis'!$B$33:$K$52))+SUMPRODUCT(--ISERROR('Marginal Analysis'!$B$58:$K$87))+SUMPRODUCT(--ISERROR(Optimization!$B$5:$B$32))+SUMPRODUCT(--ISERROR(Optimization!$B$37:$G$39)))</f>
        <v>Error cells found: 0</v>
      </c>
    </row>
    <row r="44" spans="1:4" x14ac:dyDescent="0.2">
      <c r="A44" t="s">
        <v>239</v>
      </c>
      <c r="B44" s="30" t="str">
        <f>OUT_CONSTRAINTS_OK</f>
        <v>OK</v>
      </c>
      <c r="C44" t="s">
        <v>240</v>
      </c>
    </row>
    <row r="45" spans="1:4" x14ac:dyDescent="0.2">
      <c r="A45" t="s">
        <v>241</v>
      </c>
      <c r="B45" s="30" t="str">
        <f>OUT_PNL_RECONCILES</f>
        <v>OK</v>
      </c>
      <c r="C45" t="s">
        <v>242</v>
      </c>
    </row>
    <row r="46" spans="1:4" x14ac:dyDescent="0.2">
      <c r="A46" t="s">
        <v>243</v>
      </c>
      <c r="B46" s="30" t="str">
        <f>IF(AND(ABS(PERM_RATE-FARMER_SALARY/2/PERM_HOURS)&lt;0.000000001,ABS(TEMP_RATE-TEMP_WORKER_PAY/TEMP_WORKER_HRS)&lt;0.000000001,ABS(PERM_RATE-34.72)&gt;0.0001),"OK","VIOLATED")</f>
        <v>OK</v>
      </c>
      <c r="C46" t="s">
        <v>244</v>
      </c>
      <c r="D46" s="2" t="s">
        <v>245</v>
      </c>
    </row>
    <row r="48" spans="1:4" x14ac:dyDescent="0.2">
      <c r="A48" s="3" t="s">
        <v>246</v>
      </c>
    </row>
    <row r="49" spans="1:4" x14ac:dyDescent="0.2">
      <c r="A49" s="4" t="s">
        <v>185</v>
      </c>
      <c r="B49" s="4" t="s">
        <v>228</v>
      </c>
      <c r="C49" s="4" t="s">
        <v>229</v>
      </c>
      <c r="D49" s="4" t="s">
        <v>187</v>
      </c>
    </row>
    <row r="50" spans="1:4" x14ac:dyDescent="0.2">
      <c r="A50" t="s">
        <v>247</v>
      </c>
      <c r="B50" s="30" t="str">
        <f>IF(COUNTIF('Marginal Analysis'!$J$8:$J$27,"Plant")=IFERROR(MATCH("Stop",'Marginal Analysis'!$J$8:$J$27,0),20+1)-1,"OK","VIOLATED")</f>
        <v>OK</v>
      </c>
      <c r="C50" t="s">
        <v>248</v>
      </c>
    </row>
    <row r="51" spans="1:4" x14ac:dyDescent="0.2">
      <c r="A51" t="s">
        <v>249</v>
      </c>
      <c r="B51" s="30" t="str">
        <f>IF(COUNTIF('Marginal Analysis'!$J$33:$J$52,"Plant")=IFERROR(MATCH("Stop",'Marginal Analysis'!$J$33:$J$52,0),20+1)-1,"OK","VIOLATED")</f>
        <v>OK</v>
      </c>
      <c r="C51" t="s">
        <v>248</v>
      </c>
      <c r="D51" s="2" t="s">
        <v>250</v>
      </c>
    </row>
    <row r="52" spans="1:4" x14ac:dyDescent="0.2">
      <c r="A52" t="s">
        <v>251</v>
      </c>
      <c r="B52" s="30" t="str">
        <f>IF(COUNTIF('Marginal Analysis'!$J$58:$J$87,"Plant")=IFERROR(MATCH("Stop",'Marginal Analysis'!$J$58:$J$87,0),30+1)-1,"OK","VIOLATED")</f>
        <v>OK</v>
      </c>
      <c r="C52" t="s">
        <v>248</v>
      </c>
      <c r="D52" s="2" t="s">
        <v>252</v>
      </c>
    </row>
    <row r="55" spans="1:4" x14ac:dyDescent="0.2">
      <c r="A55" s="3" t="s">
        <v>253</v>
      </c>
    </row>
    <row r="56" spans="1:4" x14ac:dyDescent="0.2">
      <c r="A56" s="4" t="s">
        <v>81</v>
      </c>
      <c r="B56" s="4" t="s">
        <v>4</v>
      </c>
      <c r="C56" s="4" t="s">
        <v>5</v>
      </c>
      <c r="D56" s="4" t="s">
        <v>187</v>
      </c>
    </row>
    <row r="57" spans="1:4" x14ac:dyDescent="0.2">
      <c r="A57" t="s">
        <v>87</v>
      </c>
      <c r="B57" s="14">
        <f>OUT_TOM_DIP_BED</f>
        <v>6</v>
      </c>
      <c r="C57" t="s">
        <v>88</v>
      </c>
      <c r="D57" s="2" t="s">
        <v>254</v>
      </c>
    </row>
    <row r="58" spans="1:4" x14ac:dyDescent="0.2">
      <c r="A58" t="s">
        <v>90</v>
      </c>
      <c r="B58" s="17">
        <f>OUT_TOM_DIP_SIZE</f>
        <v>2754.5843749999976</v>
      </c>
      <c r="C58" t="s">
        <v>91</v>
      </c>
    </row>
  </sheetData>
  <conditionalFormatting sqref="B6:B12">
    <cfRule type="cellIs" dxfId="15" priority="1" operator="equal">
      <formula>"OK"</formula>
    </cfRule>
    <cfRule type="cellIs" dxfId="14" priority="2" operator="equal">
      <formula>"VIOLATED"</formula>
    </cfRule>
  </conditionalFormatting>
  <conditionalFormatting sqref="B14">
    <cfRule type="cellIs" dxfId="13" priority="3" operator="equal">
      <formula>"OK"</formula>
    </cfRule>
    <cfRule type="cellIs" dxfId="12" priority="4" operator="equal">
      <formula>"VIOLATED"</formula>
    </cfRule>
  </conditionalFormatting>
  <conditionalFormatting sqref="B19">
    <cfRule type="cellIs" dxfId="11" priority="5" operator="equal">
      <formula>"OK"</formula>
    </cfRule>
    <cfRule type="cellIs" dxfId="10" priority="6" operator="equal">
      <formula>"VIOLATED"</formula>
    </cfRule>
  </conditionalFormatting>
  <conditionalFormatting sqref="B26">
    <cfRule type="cellIs" dxfId="9" priority="7" operator="equal">
      <formula>"OK"</formula>
    </cfRule>
    <cfRule type="cellIs" dxfId="8" priority="8" operator="equal">
      <formula>"VIOLATED"</formula>
    </cfRule>
  </conditionalFormatting>
  <conditionalFormatting sqref="B33">
    <cfRule type="cellIs" dxfId="7" priority="9" operator="equal">
      <formula>"OK"</formula>
    </cfRule>
    <cfRule type="cellIs" dxfId="6" priority="10" operator="equal">
      <formula>"VIOLATED"</formula>
    </cfRule>
  </conditionalFormatting>
  <conditionalFormatting sqref="B37:B39">
    <cfRule type="cellIs" dxfId="5" priority="11" operator="equal">
      <formula>"OK"</formula>
    </cfRule>
    <cfRule type="cellIs" dxfId="4" priority="12" operator="equal">
      <formula>"VIOLATED"</formula>
    </cfRule>
  </conditionalFormatting>
  <conditionalFormatting sqref="B43:B46">
    <cfRule type="cellIs" dxfId="3" priority="13" operator="equal">
      <formula>"OK"</formula>
    </cfRule>
    <cfRule type="cellIs" dxfId="2" priority="14" operator="equal">
      <formula>"VIOLATED"</formula>
    </cfRule>
  </conditionalFormatting>
  <conditionalFormatting sqref="B50:B52">
    <cfRule type="cellIs" dxfId="1" priority="15" operator="equal">
      <formula>"OK"</formula>
    </cfRule>
    <cfRule type="cellIs" dxfId="0" priority="16" operator="equal">
      <formula>"VIOLATED"</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57</vt:i4>
      </vt:variant>
    </vt:vector>
  </HeadingPairs>
  <TitlesOfParts>
    <vt:vector size="61" baseType="lpstr">
      <vt:lpstr>Inputs</vt:lpstr>
      <vt:lpstr>Marginal Analysis</vt:lpstr>
      <vt:lpstr>Optimization</vt:lpstr>
      <vt:lpstr>Validation</vt:lpstr>
      <vt:lpstr>CAR_BEDS</vt:lpstr>
      <vt:lpstr>CAR_CAP</vt:lpstr>
      <vt:lpstr>CAR_DIM</vt:lpstr>
      <vt:lpstr>CAR_FERT</vt:lpstr>
      <vt:lpstr>CAR_HPB</vt:lpstr>
      <vt:lpstr>CAR_PRICE</vt:lpstr>
      <vt:lpstr>FARM_BED_CAP</vt:lpstr>
      <vt:lpstr>FARMER_SALARY</vt:lpstr>
      <vt:lpstr>FIXED_COST</vt:lpstr>
      <vt:lpstr>MES_BEDS</vt:lpstr>
      <vt:lpstr>MES_CAP</vt:lpstr>
      <vt:lpstr>MES_DIM</vt:lpstr>
      <vt:lpstr>MES_FERT</vt:lpstr>
      <vt:lpstr>MES_HPB</vt:lpstr>
      <vt:lpstr>MES_PRICE</vt:lpstr>
      <vt:lpstr>OUT_BEDS_IDLE</vt:lpstr>
      <vt:lpstr>OUT_BEDS_USED</vt:lpstr>
      <vt:lpstr>OUT_BLENDED_RATE</vt:lpstr>
      <vt:lpstr>OUT_CAR_BEDS</vt:lpstr>
      <vt:lpstr>OUT_CONSTRAINTS_OK</vt:lpstr>
      <vt:lpstr>OUT_CROP_FERT_COST</vt:lpstr>
      <vt:lpstr>OUT_CROP_LABOR_COST</vt:lpstr>
      <vt:lpstr>OUT_CROP_PROFIT</vt:lpstr>
      <vt:lpstr>OUT_CROP_REVENUE</vt:lpstr>
      <vt:lpstr>OUT_CROSSING_CAR</vt:lpstr>
      <vt:lpstr>OUT_CROSSING_MES</vt:lpstr>
      <vt:lpstr>OUT_CROSSING_TOM</vt:lpstr>
      <vt:lpstr>OUT_FERT_COST</vt:lpstr>
      <vt:lpstr>OUT_FIXED_COST</vt:lpstr>
      <vt:lpstr>OUT_LABOR_COST</vt:lpstr>
      <vt:lpstr>OUT_MC_SCHEDULE</vt:lpstr>
      <vt:lpstr>OUT_MES_BEDS</vt:lpstr>
      <vt:lpstr>OUT_P_MINUS_MC</vt:lpstr>
      <vt:lpstr>OUT_PERM_HOURS</vt:lpstr>
      <vt:lpstr>OUT_PNL_RECONCILES</vt:lpstr>
      <vt:lpstr>OUT_REVENUE</vt:lpstr>
      <vt:lpstr>OUT_SEASON_PROFIT</vt:lpstr>
      <vt:lpstr>OUT_TEMP_HOURS</vt:lpstr>
      <vt:lpstr>OUT_TEMP_WORKERS</vt:lpstr>
      <vt:lpstr>OUT_TOM_BEDS</vt:lpstr>
      <vt:lpstr>OUT_TOM_DIP_BED</vt:lpstr>
      <vt:lpstr>OUT_TOM_DIP_SIZE</vt:lpstr>
      <vt:lpstr>OUT_TOTAL_COST</vt:lpstr>
      <vt:lpstr>OUT_TOTAL_HOURS</vt:lpstr>
      <vt:lpstr>PERM_HOURS</vt:lpstr>
      <vt:lpstr>PERM_RATE</vt:lpstr>
      <vt:lpstr>TEMP_RATE</vt:lpstr>
      <vt:lpstr>TEMP_WORKER_HRS</vt:lpstr>
      <vt:lpstr>TEMP_WORKER_PAY</vt:lpstr>
      <vt:lpstr>TEMP_WORKERS_MAX</vt:lpstr>
      <vt:lpstr>TOM_BEDS</vt:lpstr>
      <vt:lpstr>TOM_CAP</vt:lpstr>
      <vt:lpstr>TOM_DIM</vt:lpstr>
      <vt:lpstr>TOM_FERT</vt:lpstr>
      <vt:lpstr>TOM_HPB</vt:lpstr>
      <vt:lpstr>TOM_PRICE</vt:lpstr>
      <vt:lpstr>WEEKS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Cori Mackie</cp:lastModifiedBy>
  <dcterms:created xsi:type="dcterms:W3CDTF">2026-09-09T03:29:30Z</dcterms:created>
  <dcterms:modified xsi:type="dcterms:W3CDTF">2026-09-09T07:19:59Z</dcterms:modified>
</cp:coreProperties>
</file>