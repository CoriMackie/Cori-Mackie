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corimackie/Desktop/"/>
    </mc:Choice>
  </mc:AlternateContent>
  <xr:revisionPtr revIDLastSave="0" documentId="8_{23B98A9B-DEC7-3F4C-A03B-83B8524D6A74}" xr6:coauthVersionLast="47" xr6:coauthVersionMax="47" xr10:uidLastSave="{00000000-0000-0000-0000-000000000000}"/>
  <bookViews>
    <workbookView xWindow="4800" yWindow="1740" windowWidth="25940" windowHeight="18140" tabRatio="500" xr2:uid="{00000000-000D-0000-FFFF-FFFF00000000}"/>
  </bookViews>
  <sheets>
    <sheet name="Inputs" sheetId="1" r:id="rId1"/>
    <sheet name="MC Schedule" sheetId="2" r:id="rId2"/>
    <sheet name="Optimal Mix" sheetId="3" r:id="rId3"/>
  </sheets>
  <definedNames>
    <definedName name="CAR_CAP">Inputs!$F$18</definedName>
    <definedName name="CAR_DIM">Inputs!$C$18</definedName>
    <definedName name="CAR_FERT">Inputs!$D$18</definedName>
    <definedName name="CAR_HPB">Inputs!$B$18</definedName>
    <definedName name="CAR_PRICE">Inputs!$E$18</definedName>
    <definedName name="FARM_BED_CAP">Inputs!$B$13</definedName>
    <definedName name="FARMER_SALARY">Inputs!$B$6</definedName>
    <definedName name="FIXED_COST">Inputs!$B$12</definedName>
    <definedName name="MES_CAP">Inputs!$F$19</definedName>
    <definedName name="MES_DIM">Inputs!$C$19</definedName>
    <definedName name="MES_FERT">Inputs!$D$19</definedName>
    <definedName name="MES_HPB">Inputs!$B$19</definedName>
    <definedName name="MES_PRICE">Inputs!$E$19</definedName>
    <definedName name="PERM_HOURS">Inputs!$B$5</definedName>
    <definedName name="PERM_RATE">Inputs!$B$7</definedName>
    <definedName name="TEMP_RATE">Inputs!$B$10</definedName>
    <definedName name="TEMP_WORKER_HRS">Inputs!$B$9</definedName>
    <definedName name="TEMP_WORKER_PAY">Inputs!$B$8</definedName>
    <definedName name="TEMP_WORKERS_MAX">Inputs!$B$11</definedName>
    <definedName name="TOM_CAP">Inputs!$F$17</definedName>
    <definedName name="TOM_DIM">Inputs!$C$17</definedName>
    <definedName name="TOM_FERT">Inputs!$D$17</definedName>
    <definedName name="TOM_HPB">Inputs!$B$17</definedName>
    <definedName name="TOM_PRICE">Inputs!$E$17</definedName>
    <definedName name="WEEKS">Inputs!$B$4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4" i="3" l="1"/>
  <c r="B23" i="3"/>
  <c r="B22" i="3"/>
  <c r="B15" i="3"/>
  <c r="B8" i="3"/>
  <c r="B21" i="3" s="1"/>
  <c r="F7" i="3"/>
  <c r="E7" i="3"/>
  <c r="D7" i="3"/>
  <c r="C7" i="3"/>
  <c r="F6" i="3"/>
  <c r="D6" i="3"/>
  <c r="E6" i="3" s="1"/>
  <c r="F5" i="3"/>
  <c r="F8" i="3" s="1"/>
  <c r="B14" i="3" s="1"/>
  <c r="E5" i="3"/>
  <c r="E8" i="3" s="1"/>
  <c r="B17" i="3" s="1"/>
  <c r="D5" i="3"/>
  <c r="C5" i="3"/>
  <c r="I84" i="2"/>
  <c r="G84" i="2"/>
  <c r="B84" i="2"/>
  <c r="C84" i="2" s="1"/>
  <c r="I83" i="2"/>
  <c r="G83" i="2"/>
  <c r="B83" i="2"/>
  <c r="C83" i="2" s="1"/>
  <c r="I82" i="2"/>
  <c r="G82" i="2"/>
  <c r="C82" i="2"/>
  <c r="B82" i="2"/>
  <c r="I81" i="2"/>
  <c r="G81" i="2"/>
  <c r="B81" i="2"/>
  <c r="C81" i="2" s="1"/>
  <c r="I80" i="2"/>
  <c r="G80" i="2"/>
  <c r="B80" i="2"/>
  <c r="C80" i="2" s="1"/>
  <c r="I79" i="2"/>
  <c r="G79" i="2"/>
  <c r="B79" i="2"/>
  <c r="C79" i="2" s="1"/>
  <c r="I78" i="2"/>
  <c r="G78" i="2"/>
  <c r="B78" i="2"/>
  <c r="C78" i="2" s="1"/>
  <c r="I77" i="2"/>
  <c r="G77" i="2"/>
  <c r="B77" i="2"/>
  <c r="C77" i="2" s="1"/>
  <c r="I76" i="2"/>
  <c r="G76" i="2"/>
  <c r="B76" i="2"/>
  <c r="C76" i="2" s="1"/>
  <c r="I75" i="2"/>
  <c r="G75" i="2"/>
  <c r="B75" i="2"/>
  <c r="C75" i="2" s="1"/>
  <c r="I74" i="2"/>
  <c r="G74" i="2"/>
  <c r="B74" i="2"/>
  <c r="C74" i="2" s="1"/>
  <c r="I73" i="2"/>
  <c r="G73" i="2"/>
  <c r="B73" i="2"/>
  <c r="D74" i="2" s="1"/>
  <c r="I72" i="2"/>
  <c r="G72" i="2"/>
  <c r="B72" i="2"/>
  <c r="C72" i="2" s="1"/>
  <c r="I71" i="2"/>
  <c r="G71" i="2"/>
  <c r="B71" i="2"/>
  <c r="C71" i="2" s="1"/>
  <c r="I70" i="2"/>
  <c r="G70" i="2"/>
  <c r="B70" i="2"/>
  <c r="C70" i="2" s="1"/>
  <c r="I69" i="2"/>
  <c r="G69" i="2"/>
  <c r="B69" i="2"/>
  <c r="C69" i="2" s="1"/>
  <c r="I68" i="2"/>
  <c r="G68" i="2"/>
  <c r="B68" i="2"/>
  <c r="C68" i="2" s="1"/>
  <c r="I67" i="2"/>
  <c r="G67" i="2"/>
  <c r="B67" i="2"/>
  <c r="C67" i="2" s="1"/>
  <c r="I66" i="2"/>
  <c r="G66" i="2"/>
  <c r="B66" i="2"/>
  <c r="C66" i="2" s="1"/>
  <c r="I65" i="2"/>
  <c r="G65" i="2"/>
  <c r="B65" i="2"/>
  <c r="C65" i="2" s="1"/>
  <c r="I64" i="2"/>
  <c r="G64" i="2"/>
  <c r="B64" i="2"/>
  <c r="C64" i="2" s="1"/>
  <c r="I63" i="2"/>
  <c r="G63" i="2"/>
  <c r="B63" i="2"/>
  <c r="C63" i="2" s="1"/>
  <c r="I62" i="2"/>
  <c r="G62" i="2"/>
  <c r="B62" i="2"/>
  <c r="C62" i="2" s="1"/>
  <c r="I61" i="2"/>
  <c r="G61" i="2"/>
  <c r="D61" i="2"/>
  <c r="B61" i="2"/>
  <c r="C61" i="2" s="1"/>
  <c r="I60" i="2"/>
  <c r="G60" i="2"/>
  <c r="B60" i="2"/>
  <c r="C60" i="2" s="1"/>
  <c r="I59" i="2"/>
  <c r="G59" i="2"/>
  <c r="B59" i="2"/>
  <c r="I58" i="2"/>
  <c r="G58" i="2"/>
  <c r="B58" i="2"/>
  <c r="I57" i="2"/>
  <c r="G57" i="2"/>
  <c r="B57" i="2"/>
  <c r="C57" i="2" s="1"/>
  <c r="I56" i="2"/>
  <c r="G56" i="2"/>
  <c r="B56" i="2"/>
  <c r="I55" i="2"/>
  <c r="G55" i="2"/>
  <c r="B55" i="2"/>
  <c r="I50" i="2"/>
  <c r="G50" i="2"/>
  <c r="B50" i="2"/>
  <c r="I49" i="2"/>
  <c r="G49" i="2"/>
  <c r="I48" i="2"/>
  <c r="G48" i="2"/>
  <c r="I47" i="2"/>
  <c r="G47" i="2"/>
  <c r="I46" i="2"/>
  <c r="G46" i="2"/>
  <c r="B46" i="2"/>
  <c r="I45" i="2"/>
  <c r="G45" i="2"/>
  <c r="I44" i="2"/>
  <c r="G44" i="2"/>
  <c r="I43" i="2"/>
  <c r="G43" i="2"/>
  <c r="I42" i="2"/>
  <c r="G42" i="2"/>
  <c r="B42" i="2"/>
  <c r="I41" i="2"/>
  <c r="G41" i="2"/>
  <c r="I40" i="2"/>
  <c r="G40" i="2"/>
  <c r="I39" i="2"/>
  <c r="G39" i="2"/>
  <c r="I38" i="2"/>
  <c r="G38" i="2"/>
  <c r="I37" i="2"/>
  <c r="G37" i="2"/>
  <c r="I36" i="2"/>
  <c r="G36" i="2"/>
  <c r="I35" i="2"/>
  <c r="G35" i="2"/>
  <c r="B35" i="2"/>
  <c r="I34" i="2"/>
  <c r="G34" i="2"/>
  <c r="I33" i="2"/>
  <c r="G33" i="2"/>
  <c r="I32" i="2"/>
  <c r="G32" i="2"/>
  <c r="B32" i="2"/>
  <c r="I31" i="2"/>
  <c r="G31" i="2"/>
  <c r="B31" i="2"/>
  <c r="C31" i="2" s="1"/>
  <c r="I26" i="2"/>
  <c r="G26" i="2"/>
  <c r="B26" i="2"/>
  <c r="I25" i="2"/>
  <c r="G25" i="2"/>
  <c r="B25" i="2"/>
  <c r="C25" i="2" s="1"/>
  <c r="I24" i="2"/>
  <c r="G24" i="2"/>
  <c r="B24" i="2"/>
  <c r="C24" i="2" s="1"/>
  <c r="D24" i="2" s="1"/>
  <c r="I23" i="2"/>
  <c r="G23" i="2"/>
  <c r="B23" i="2"/>
  <c r="I22" i="2"/>
  <c r="G22" i="2"/>
  <c r="C22" i="2"/>
  <c r="B22" i="2"/>
  <c r="I21" i="2"/>
  <c r="G21" i="2"/>
  <c r="B21" i="2"/>
  <c r="I20" i="2"/>
  <c r="G20" i="2"/>
  <c r="B20" i="2"/>
  <c r="C20" i="2" s="1"/>
  <c r="I19" i="2"/>
  <c r="G19" i="2"/>
  <c r="B19" i="2"/>
  <c r="I18" i="2"/>
  <c r="G18" i="2"/>
  <c r="B18" i="2"/>
  <c r="I17" i="2"/>
  <c r="G17" i="2"/>
  <c r="B17" i="2"/>
  <c r="I16" i="2"/>
  <c r="G16" i="2"/>
  <c r="B16" i="2"/>
  <c r="C16" i="2" s="1"/>
  <c r="I15" i="2"/>
  <c r="G15" i="2"/>
  <c r="B15" i="2"/>
  <c r="D16" i="2" s="1"/>
  <c r="I14" i="2"/>
  <c r="G14" i="2"/>
  <c r="B14" i="2"/>
  <c r="I13" i="2"/>
  <c r="G13" i="2"/>
  <c r="B13" i="2"/>
  <c r="I12" i="2"/>
  <c r="G12" i="2"/>
  <c r="B12" i="2"/>
  <c r="C12" i="2" s="1"/>
  <c r="I11" i="2"/>
  <c r="G11" i="2"/>
  <c r="B11" i="2"/>
  <c r="D12" i="2" s="1"/>
  <c r="I10" i="2"/>
  <c r="G10" i="2"/>
  <c r="B10" i="2"/>
  <c r="I9" i="2"/>
  <c r="G9" i="2"/>
  <c r="B9" i="2"/>
  <c r="C9" i="2" s="1"/>
  <c r="I8" i="2"/>
  <c r="G8" i="2"/>
  <c r="B8" i="2"/>
  <c r="C8" i="2" s="1"/>
  <c r="I7" i="2"/>
  <c r="G7" i="2"/>
  <c r="B7" i="2"/>
  <c r="C7" i="2" s="1"/>
  <c r="B18" i="1"/>
  <c r="B39" i="2" s="1"/>
  <c r="B10" i="1"/>
  <c r="B7" i="1"/>
  <c r="F24" i="2" l="1"/>
  <c r="H24" i="2" s="1"/>
  <c r="J24" i="2" s="1"/>
  <c r="K24" i="2" s="1"/>
  <c r="C42" i="2"/>
  <c r="F61" i="2"/>
  <c r="H61" i="2" s="1"/>
  <c r="J61" i="2" s="1"/>
  <c r="K61" i="2" s="1"/>
  <c r="D69" i="2"/>
  <c r="D77" i="2"/>
  <c r="E82" i="2"/>
  <c r="E9" i="2"/>
  <c r="C17" i="2"/>
  <c r="D25" i="2"/>
  <c r="C21" i="2"/>
  <c r="D22" i="2"/>
  <c r="E22" i="2" s="1"/>
  <c r="C13" i="2"/>
  <c r="E16" i="2"/>
  <c r="F16" i="2" s="1"/>
  <c r="H16" i="2" s="1"/>
  <c r="J16" i="2" s="1"/>
  <c r="K16" i="2" s="1"/>
  <c r="D21" i="2"/>
  <c r="F12" i="2"/>
  <c r="H12" i="2" s="1"/>
  <c r="J12" i="2" s="1"/>
  <c r="K12" i="2" s="1"/>
  <c r="E24" i="2"/>
  <c r="C58" i="2"/>
  <c r="D59" i="2"/>
  <c r="C14" i="2"/>
  <c r="C19" i="2"/>
  <c r="D19" i="2" s="1"/>
  <c r="D20" i="2"/>
  <c r="D31" i="2"/>
  <c r="E31" i="2" s="1"/>
  <c r="C55" i="2"/>
  <c r="D11" i="2"/>
  <c r="C26" i="2"/>
  <c r="C18" i="2"/>
  <c r="D18" i="2" s="1"/>
  <c r="C23" i="2"/>
  <c r="D26" i="2"/>
  <c r="C32" i="2"/>
  <c r="C8" i="3"/>
  <c r="E12" i="2"/>
  <c r="D13" i="2"/>
  <c r="E8" i="2"/>
  <c r="D9" i="2"/>
  <c r="C10" i="2"/>
  <c r="D10" i="2" s="1"/>
  <c r="B40" i="2"/>
  <c r="E7" i="2"/>
  <c r="B37" i="2"/>
  <c r="C56" i="2"/>
  <c r="D56" i="2" s="1"/>
  <c r="E57" i="2"/>
  <c r="E62" i="2"/>
  <c r="D62" i="2"/>
  <c r="E70" i="2"/>
  <c r="D70" i="2"/>
  <c r="E78" i="2"/>
  <c r="D78" i="2"/>
  <c r="C15" i="2"/>
  <c r="D15" i="2" s="1"/>
  <c r="C50" i="2"/>
  <c r="D57" i="2"/>
  <c r="E65" i="2"/>
  <c r="D65" i="2"/>
  <c r="E81" i="2"/>
  <c r="D81" i="2"/>
  <c r="C6" i="3"/>
  <c r="B49" i="2"/>
  <c r="B45" i="2"/>
  <c r="B41" i="2"/>
  <c r="B48" i="2"/>
  <c r="B44" i="2"/>
  <c r="C11" i="2"/>
  <c r="B43" i="2"/>
  <c r="C59" i="2"/>
  <c r="D60" i="2"/>
  <c r="E68" i="2"/>
  <c r="E76" i="2"/>
  <c r="D8" i="2"/>
  <c r="B38" i="2"/>
  <c r="D7" i="2"/>
  <c r="B33" i="2"/>
  <c r="B34" i="2"/>
  <c r="B36" i="2"/>
  <c r="B47" i="2"/>
  <c r="E61" i="2"/>
  <c r="D66" i="2"/>
  <c r="E74" i="2"/>
  <c r="F74" i="2" s="1"/>
  <c r="H74" i="2" s="1"/>
  <c r="J74" i="2" s="1"/>
  <c r="K74" i="2" s="1"/>
  <c r="D83" i="2"/>
  <c r="D63" i="2"/>
  <c r="D67" i="2"/>
  <c r="D71" i="2"/>
  <c r="D75" i="2"/>
  <c r="E75" i="2" s="1"/>
  <c r="D79" i="2"/>
  <c r="E79" i="2" s="1"/>
  <c r="D76" i="2"/>
  <c r="D80" i="2"/>
  <c r="E80" i="2" s="1"/>
  <c r="D84" i="2"/>
  <c r="E84" i="2" s="1"/>
  <c r="D64" i="2"/>
  <c r="E64" i="2" s="1"/>
  <c r="D68" i="2"/>
  <c r="D72" i="2"/>
  <c r="E72" i="2" s="1"/>
  <c r="C73" i="2"/>
  <c r="D82" i="2"/>
  <c r="C47" i="2" l="1"/>
  <c r="D48" i="2"/>
  <c r="F68" i="2"/>
  <c r="H68" i="2" s="1"/>
  <c r="J68" i="2" s="1"/>
  <c r="K68" i="2" s="1"/>
  <c r="C36" i="2"/>
  <c r="C41" i="2"/>
  <c r="D42" i="2"/>
  <c r="F57" i="2"/>
  <c r="H57" i="2" s="1"/>
  <c r="J57" i="2" s="1"/>
  <c r="K57" i="2" s="1"/>
  <c r="F62" i="2"/>
  <c r="H62" i="2" s="1"/>
  <c r="J62" i="2" s="1"/>
  <c r="K62" i="2" s="1"/>
  <c r="C37" i="2"/>
  <c r="D23" i="2"/>
  <c r="D55" i="2"/>
  <c r="E55" i="2" s="1"/>
  <c r="E21" i="2"/>
  <c r="F21" i="2" s="1"/>
  <c r="H21" i="2" s="1"/>
  <c r="J21" i="2" s="1"/>
  <c r="K21" i="2" s="1"/>
  <c r="C34" i="2"/>
  <c r="C49" i="2"/>
  <c r="D50" i="2"/>
  <c r="E15" i="2"/>
  <c r="F15" i="2" s="1"/>
  <c r="H15" i="2" s="1"/>
  <c r="J15" i="2" s="1"/>
  <c r="K15" i="2" s="1"/>
  <c r="E67" i="2"/>
  <c r="F67" i="2" s="1"/>
  <c r="H67" i="2" s="1"/>
  <c r="J67" i="2" s="1"/>
  <c r="K67" i="2" s="1"/>
  <c r="E20" i="2"/>
  <c r="F20" i="2" s="1"/>
  <c r="H20" i="2" s="1"/>
  <c r="J20" i="2" s="1"/>
  <c r="K20" i="2" s="1"/>
  <c r="F7" i="2"/>
  <c r="H7" i="2" s="1"/>
  <c r="J7" i="2" s="1"/>
  <c r="K7" i="2" s="1"/>
  <c r="E83" i="2"/>
  <c r="F83" i="2" s="1"/>
  <c r="H83" i="2" s="1"/>
  <c r="J83" i="2" s="1"/>
  <c r="K83" i="2" s="1"/>
  <c r="F77" i="2"/>
  <c r="H77" i="2" s="1"/>
  <c r="J77" i="2" s="1"/>
  <c r="K77" i="2" s="1"/>
  <c r="C38" i="2"/>
  <c r="C43" i="2"/>
  <c r="F81" i="2"/>
  <c r="H81" i="2" s="1"/>
  <c r="J81" i="2" s="1"/>
  <c r="K81" i="2" s="1"/>
  <c r="F78" i="2"/>
  <c r="H78" i="2" s="1"/>
  <c r="J78" i="2" s="1"/>
  <c r="K78" i="2" s="1"/>
  <c r="F9" i="2"/>
  <c r="H9" i="2" s="1"/>
  <c r="J9" i="2" s="1"/>
  <c r="K9" i="2" s="1"/>
  <c r="E13" i="2"/>
  <c r="F13" i="2" s="1"/>
  <c r="H13" i="2" s="1"/>
  <c r="J13" i="2" s="1"/>
  <c r="K13" i="2" s="1"/>
  <c r="E25" i="2"/>
  <c r="F25" i="2" s="1"/>
  <c r="H25" i="2" s="1"/>
  <c r="J25" i="2" s="1"/>
  <c r="K25" i="2" s="1"/>
  <c r="E77" i="2"/>
  <c r="F72" i="2"/>
  <c r="H72" i="2" s="1"/>
  <c r="J72" i="2" s="1"/>
  <c r="K72" i="2" s="1"/>
  <c r="E56" i="2"/>
  <c r="F56" i="2" s="1"/>
  <c r="H56" i="2" s="1"/>
  <c r="J56" i="2" s="1"/>
  <c r="K56" i="2" s="1"/>
  <c r="F31" i="2"/>
  <c r="H31" i="2" s="1"/>
  <c r="J31" i="2" s="1"/>
  <c r="K31" i="2" s="1"/>
  <c r="F84" i="2"/>
  <c r="H84" i="2" s="1"/>
  <c r="J84" i="2" s="1"/>
  <c r="K84" i="2" s="1"/>
  <c r="F60" i="2"/>
  <c r="H60" i="2" s="1"/>
  <c r="J60" i="2" s="1"/>
  <c r="K60" i="2" s="1"/>
  <c r="B11" i="3"/>
  <c r="B12" i="3" s="1"/>
  <c r="B25" i="3" s="1"/>
  <c r="B10" i="3"/>
  <c r="B13" i="3" s="1"/>
  <c r="B16" i="3" s="1"/>
  <c r="B18" i="3" s="1"/>
  <c r="D14" i="2"/>
  <c r="F76" i="2"/>
  <c r="H76" i="2" s="1"/>
  <c r="J76" i="2" s="1"/>
  <c r="K76" i="2" s="1"/>
  <c r="F82" i="2"/>
  <c r="H82" i="2" s="1"/>
  <c r="J82" i="2" s="1"/>
  <c r="K82" i="2" s="1"/>
  <c r="E71" i="2"/>
  <c r="F71" i="2" s="1"/>
  <c r="H71" i="2" s="1"/>
  <c r="J71" i="2" s="1"/>
  <c r="K71" i="2" s="1"/>
  <c r="C39" i="2"/>
  <c r="C48" i="2"/>
  <c r="F22" i="2"/>
  <c r="H22" i="2" s="1"/>
  <c r="J22" i="2" s="1"/>
  <c r="K22" i="2" s="1"/>
  <c r="F64" i="2"/>
  <c r="H64" i="2" s="1"/>
  <c r="J64" i="2" s="1"/>
  <c r="K64" i="2" s="1"/>
  <c r="C45" i="2"/>
  <c r="E18" i="2"/>
  <c r="F18" i="2" s="1"/>
  <c r="H18" i="2" s="1"/>
  <c r="J18" i="2" s="1"/>
  <c r="K18" i="2" s="1"/>
  <c r="C33" i="2"/>
  <c r="D34" i="2"/>
  <c r="C40" i="2"/>
  <c r="D41" i="2"/>
  <c r="E26" i="2"/>
  <c r="F26" i="2" s="1"/>
  <c r="H26" i="2" s="1"/>
  <c r="J26" i="2" s="1"/>
  <c r="K26" i="2" s="1"/>
  <c r="D58" i="2"/>
  <c r="F80" i="2"/>
  <c r="H80" i="2" s="1"/>
  <c r="J80" i="2" s="1"/>
  <c r="K80" i="2" s="1"/>
  <c r="E59" i="2"/>
  <c r="F59" i="2" s="1"/>
  <c r="H59" i="2" s="1"/>
  <c r="J59" i="2" s="1"/>
  <c r="K59" i="2" s="1"/>
  <c r="E10" i="2"/>
  <c r="F10" i="2" s="1"/>
  <c r="H10" i="2" s="1"/>
  <c r="J10" i="2" s="1"/>
  <c r="K10" i="2" s="1"/>
  <c r="E19" i="2"/>
  <c r="F19" i="2" s="1"/>
  <c r="H19" i="2" s="1"/>
  <c r="J19" i="2" s="1"/>
  <c r="K19" i="2" s="1"/>
  <c r="C35" i="2"/>
  <c r="D35" i="2" s="1"/>
  <c r="F66" i="2"/>
  <c r="H66" i="2" s="1"/>
  <c r="J66" i="2" s="1"/>
  <c r="K66" i="2" s="1"/>
  <c r="F79" i="2"/>
  <c r="H79" i="2" s="1"/>
  <c r="J79" i="2" s="1"/>
  <c r="K79" i="2" s="1"/>
  <c r="E66" i="2"/>
  <c r="E11" i="2"/>
  <c r="F11" i="2" s="1"/>
  <c r="H11" i="2" s="1"/>
  <c r="J11" i="2" s="1"/>
  <c r="K11" i="2" s="1"/>
  <c r="D73" i="2"/>
  <c r="F75" i="2"/>
  <c r="H75" i="2" s="1"/>
  <c r="J75" i="2" s="1"/>
  <c r="K75" i="2" s="1"/>
  <c r="F8" i="2"/>
  <c r="H8" i="2" s="1"/>
  <c r="J8" i="2" s="1"/>
  <c r="K8" i="2" s="1"/>
  <c r="C44" i="2"/>
  <c r="F65" i="2"/>
  <c r="H65" i="2" s="1"/>
  <c r="J65" i="2" s="1"/>
  <c r="K65" i="2" s="1"/>
  <c r="F70" i="2"/>
  <c r="H70" i="2" s="1"/>
  <c r="J70" i="2" s="1"/>
  <c r="K70" i="2" s="1"/>
  <c r="E63" i="2"/>
  <c r="F63" i="2" s="1"/>
  <c r="H63" i="2" s="1"/>
  <c r="J63" i="2" s="1"/>
  <c r="K63" i="2" s="1"/>
  <c r="D32" i="2"/>
  <c r="E60" i="2"/>
  <c r="C46" i="2"/>
  <c r="D17" i="2"/>
  <c r="E69" i="2"/>
  <c r="F69" i="2" s="1"/>
  <c r="H69" i="2" s="1"/>
  <c r="J69" i="2" s="1"/>
  <c r="K69" i="2" s="1"/>
  <c r="D39" i="2" l="1"/>
  <c r="E49" i="2"/>
  <c r="E47" i="2"/>
  <c r="D47" i="2"/>
  <c r="F73" i="2"/>
  <c r="H73" i="2" s="1"/>
  <c r="J73" i="2" s="1"/>
  <c r="K73" i="2" s="1"/>
  <c r="E41" i="2"/>
  <c r="F41" i="2" s="1"/>
  <c r="H41" i="2" s="1"/>
  <c r="J41" i="2" s="1"/>
  <c r="K41" i="2" s="1"/>
  <c r="E42" i="2"/>
  <c r="F42" i="2" s="1"/>
  <c r="H42" i="2" s="1"/>
  <c r="J42" i="2" s="1"/>
  <c r="K42" i="2" s="1"/>
  <c r="D49" i="2"/>
  <c r="E34" i="2"/>
  <c r="F34" i="2" s="1"/>
  <c r="H34" i="2" s="1"/>
  <c r="J34" i="2" s="1"/>
  <c r="K34" i="2" s="1"/>
  <c r="D37" i="2"/>
  <c r="D46" i="2"/>
  <c r="E46" i="2" s="1"/>
  <c r="E38" i="2"/>
  <c r="E45" i="2"/>
  <c r="D33" i="2"/>
  <c r="E33" i="2"/>
  <c r="E48" i="2"/>
  <c r="F48" i="2" s="1"/>
  <c r="H48" i="2" s="1"/>
  <c r="J48" i="2" s="1"/>
  <c r="K48" i="2" s="1"/>
  <c r="D44" i="2"/>
  <c r="E23" i="2"/>
  <c r="F23" i="2" s="1"/>
  <c r="H23" i="2" s="1"/>
  <c r="J23" i="2" s="1"/>
  <c r="K23" i="2" s="1"/>
  <c r="E36" i="2"/>
  <c r="D36" i="2"/>
  <c r="E35" i="2"/>
  <c r="F35" i="2" s="1"/>
  <c r="H35" i="2" s="1"/>
  <c r="J35" i="2" s="1"/>
  <c r="K35" i="2" s="1"/>
  <c r="D40" i="2"/>
  <c r="E32" i="2"/>
  <c r="F32" i="2" s="1"/>
  <c r="H32" i="2" s="1"/>
  <c r="J32" i="2" s="1"/>
  <c r="K32" i="2" s="1"/>
  <c r="E50" i="2"/>
  <c r="F50" i="2" s="1"/>
  <c r="H50" i="2" s="1"/>
  <c r="J50" i="2" s="1"/>
  <c r="K50" i="2" s="1"/>
  <c r="F55" i="2"/>
  <c r="H55" i="2" s="1"/>
  <c r="J55" i="2" s="1"/>
  <c r="K55" i="2" s="1"/>
  <c r="E73" i="2"/>
  <c r="E17" i="2"/>
  <c r="F17" i="2" s="1"/>
  <c r="H17" i="2" s="1"/>
  <c r="J17" i="2" s="1"/>
  <c r="K17" i="2" s="1"/>
  <c r="D45" i="2"/>
  <c r="E58" i="2"/>
  <c r="F58" i="2" s="1"/>
  <c r="H58" i="2" s="1"/>
  <c r="J58" i="2" s="1"/>
  <c r="K58" i="2" s="1"/>
  <c r="D43" i="2"/>
  <c r="E43" i="2" s="1"/>
  <c r="E14" i="2"/>
  <c r="F14" i="2" s="1"/>
  <c r="H14" i="2" s="1"/>
  <c r="J14" i="2" s="1"/>
  <c r="K14" i="2" s="1"/>
  <c r="D38" i="2"/>
  <c r="E39" i="2" l="1"/>
  <c r="F39" i="2" s="1"/>
  <c r="H39" i="2" s="1"/>
  <c r="J39" i="2" s="1"/>
  <c r="K39" i="2" s="1"/>
  <c r="F43" i="2"/>
  <c r="H43" i="2" s="1"/>
  <c r="J43" i="2" s="1"/>
  <c r="K43" i="2" s="1"/>
  <c r="F40" i="2"/>
  <c r="H40" i="2" s="1"/>
  <c r="J40" i="2" s="1"/>
  <c r="K40" i="2" s="1"/>
  <c r="F33" i="2"/>
  <c r="H33" i="2" s="1"/>
  <c r="J33" i="2" s="1"/>
  <c r="K33" i="2" s="1"/>
  <c r="E44" i="2"/>
  <c r="F44" i="2" s="1"/>
  <c r="H44" i="2" s="1"/>
  <c r="J44" i="2" s="1"/>
  <c r="K44" i="2" s="1"/>
  <c r="F46" i="2"/>
  <c r="H46" i="2" s="1"/>
  <c r="J46" i="2" s="1"/>
  <c r="K46" i="2" s="1"/>
  <c r="F45" i="2"/>
  <c r="H45" i="2" s="1"/>
  <c r="J45" i="2" s="1"/>
  <c r="K45" i="2" s="1"/>
  <c r="E40" i="2"/>
  <c r="E37" i="2"/>
  <c r="F37" i="2" s="1"/>
  <c r="H37" i="2" s="1"/>
  <c r="J37" i="2" s="1"/>
  <c r="K37" i="2" s="1"/>
  <c r="F38" i="2"/>
  <c r="H38" i="2" s="1"/>
  <c r="J38" i="2" s="1"/>
  <c r="K38" i="2" s="1"/>
  <c r="F36" i="2"/>
  <c r="H36" i="2" s="1"/>
  <c r="J36" i="2" s="1"/>
  <c r="K36" i="2" s="1"/>
  <c r="F49" i="2"/>
  <c r="H49" i="2" s="1"/>
  <c r="J49" i="2" s="1"/>
  <c r="K49" i="2" s="1"/>
  <c r="F47" i="2"/>
  <c r="H47" i="2" s="1"/>
  <c r="J47" i="2" s="1"/>
  <c r="K47" i="2" s="1"/>
</calcChain>
</file>

<file path=xl/sharedStrings.xml><?xml version="1.0" encoding="utf-8"?>
<sst xmlns="http://schemas.openxmlformats.org/spreadsheetml/2006/main" count="100" uniqueCount="68">
  <si>
    <t>Farm Labor &amp; Profit Model — Inputs</t>
  </si>
  <si>
    <t>FARM-WIDE ASSUMPTIONS</t>
  </si>
  <si>
    <t>Season length (weeks)</t>
  </si>
  <si>
    <t>Case scenario</t>
  </si>
  <si>
    <t>Permanent (farmer) field hours</t>
  </si>
  <si>
    <t>Case scenario: half the farmer's season</t>
  </si>
  <si>
    <t>Farmer season salary ($)</t>
  </si>
  <si>
    <t>Permanent hourly rate ($/hr)</t>
  </si>
  <si>
    <t>Half salary / field hours (about $34.72)</t>
  </si>
  <si>
    <t>Temp worker season pay ($)</t>
  </si>
  <si>
    <t>Temp worker hours cap (hrs)</t>
  </si>
  <si>
    <t>Temporary hourly rate ($/hr)</t>
  </si>
  <si>
    <t>Pay / hours cap (about $17.36)</t>
  </si>
  <si>
    <t>Max temporary workers</t>
  </si>
  <si>
    <t>Case scenario constraint</t>
  </si>
  <si>
    <t>Fixed costs, season ($)</t>
  </si>
  <si>
    <t>Total farm bed cap</t>
  </si>
  <si>
    <t>Case scenario: 16 beds × 4 plots</t>
  </si>
  <si>
    <t>CROP ASSUMPTIONS</t>
  </si>
  <si>
    <t>Crop</t>
  </si>
  <si>
    <t>Labor hrs/week/bed</t>
  </si>
  <si>
    <t>Diminishing return %/bed</t>
  </si>
  <si>
    <t>Fertilizer $/bed</t>
  </si>
  <si>
    <t>Price $/bed</t>
  </si>
  <si>
    <t>Max beds</t>
  </si>
  <si>
    <t>Tomatoes</t>
  </si>
  <si>
    <t>Carrots</t>
  </si>
  <si>
    <t>Mesclun</t>
  </si>
  <si>
    <t>Blue cells are editable inputs. Black cells are formulas. Fertilizer and diminishing-return% are flat per-bed facts (case scenario table); labor rates are derived, not typed twice.</t>
  </si>
  <si>
    <t>Marginal Cost vs. Price — Standalone Analysis</t>
  </si>
  <si>
    <t>Each crop analyzed alone against the full shared labor pool (720 permanent hrs, then temp hrs). Plant while Price ≥ Marginal Cost; stop at the first bed where MC exceeds Price.</t>
  </si>
  <si>
    <t>TOMATOES</t>
  </si>
  <si>
    <t>Bed (q)</t>
  </si>
  <si>
    <t>Cumulative Hours</t>
  </si>
  <si>
    <t>Marginal Hours</t>
  </si>
  <si>
    <t>Perm Hrs Used</t>
  </si>
  <si>
    <t>Temp Hrs Used</t>
  </si>
  <si>
    <t>Labor Cost</t>
  </si>
  <si>
    <t>Fertilizer</t>
  </si>
  <si>
    <t>Marginal Cost</t>
  </si>
  <si>
    <t>Price</t>
  </si>
  <si>
    <t>P − MC</t>
  </si>
  <si>
    <t>Decision</t>
  </si>
  <si>
    <t>CARROTS</t>
  </si>
  <si>
    <t>MESCLUN</t>
  </si>
  <si>
    <t>Green = plant this bed (Price ≥ Marginal Cost). Red = stop (Marginal Cost exceeds Price). The crossing point is where green ends.</t>
  </si>
  <si>
    <t>Optimal Planting Mix — Season Profit</t>
  </si>
  <si>
    <t>Beds Planted (blue) are the decision variables — edit them, or set up Solver here (maximize B9, changing B5:B7, constraints per the case).</t>
  </si>
  <si>
    <t>Beds Planted</t>
  </si>
  <si>
    <t>Revenue</t>
  </si>
  <si>
    <t>Fertilizer Cost</t>
  </si>
  <si>
    <t>TOTAL</t>
  </si>
  <si>
    <t>Permanent hours used</t>
  </si>
  <si>
    <t>Temporary hours used</t>
  </si>
  <si>
    <t>Temp workers needed</t>
  </si>
  <si>
    <t>Labor cost</t>
  </si>
  <si>
    <t>Fertilizer cost</t>
  </si>
  <si>
    <t>Fixed cost</t>
  </si>
  <si>
    <t>Total cost</t>
  </si>
  <si>
    <t>Total revenue</t>
  </si>
  <si>
    <t>SEASON PROFIT</t>
  </si>
  <si>
    <t>CONSTRAINT CHECKS</t>
  </si>
  <si>
    <t>Total beds ≤ farm cap (64)</t>
  </si>
  <si>
    <t>Tomatoes ≤ crop cap</t>
  </si>
  <si>
    <t>Carrots ≤ crop cap</t>
  </si>
  <si>
    <t>Mesclun ≤ crop cap</t>
  </si>
  <si>
    <t>Temp workers ≤ max (4)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</si>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</sst>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;&quot;($&quot;#,##0\);\-"/>
    <numFmt numFmtId="165" formatCode="\$#,##0.00;&quot;($&quot;#,##0.00\);\-"/>
  </numFmts>
  <fonts count="7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b/>
      <sz val="12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Arial"/>
      <family val="2"/>
    </font>
    <font>
      <i/>
      <sz val="9"/>
      <color rgb="FF666666"/>
      <name val="Arial"/>
      <family val="2"/>
    </font>
    <font>
      <b/>
      <sz val="1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D9E1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5" fillId="0" borderId="0" xfId="0" applyFont="1"/>
    <xf numFmtId="0" fontId="1" fillId="0" borderId="0" xfId="0" applyFont="1"/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165" fontId="3" fillId="0" borderId="0" xfId="0" applyNumberFormat="1" applyFont="1"/>
    <xf numFmtId="0" fontId="6" fillId="3" borderId="1" xfId="0" applyFont="1" applyFill="1" applyBorder="1"/>
    <xf numFmtId="0" fontId="3" fillId="0" borderId="1" xfId="0" applyFont="1" applyBorder="1"/>
    <xf numFmtId="4" fontId="4" fillId="0" borderId="1" xfId="0" applyNumberFormat="1" applyFont="1" applyBorder="1"/>
    <xf numFmtId="10" fontId="4" fillId="0" borderId="1" xfId="0" applyNumberFormat="1" applyFont="1" applyBorder="1"/>
    <xf numFmtId="164" fontId="4" fillId="0" borderId="1" xfId="0" applyNumberFormat="1" applyFont="1" applyBorder="1"/>
    <xf numFmtId="1" fontId="4" fillId="0" borderId="1" xfId="0" applyNumberFormat="1" applyFont="1" applyBorder="1"/>
    <xf numFmtId="0" fontId="6" fillId="3" borderId="1" xfId="0" applyFont="1" applyFill="1" applyBorder="1" applyAlignment="1">
      <alignment horizontal="center" wrapText="1"/>
    </xf>
    <xf numFmtId="0" fontId="0" fillId="0" borderId="1" xfId="0" applyBorder="1"/>
    <xf numFmtId="4" fontId="3" fillId="0" borderId="1" xfId="0" applyNumberFormat="1" applyFont="1" applyBorder="1"/>
    <xf numFmtId="165" fontId="3" fillId="0" borderId="1" xfId="0" applyNumberFormat="1" applyFont="1" applyBorder="1"/>
    <xf numFmtId="164" fontId="3" fillId="0" borderId="1" xfId="0" applyNumberFormat="1" applyFont="1" applyBorder="1"/>
    <xf numFmtId="1" fontId="4" fillId="4" borderId="1" xfId="0" applyNumberFormat="1" applyFont="1" applyFill="1" applyBorder="1"/>
    <xf numFmtId="4" fontId="0" fillId="0" borderId="1" xfId="0" applyNumberFormat="1" applyBorder="1"/>
    <xf numFmtId="164" fontId="0" fillId="0" borderId="1" xfId="0" applyNumberFormat="1" applyBorder="1"/>
    <xf numFmtId="0" fontId="6" fillId="0" borderId="1" xfId="0" applyFont="1" applyBorder="1"/>
    <xf numFmtId="1" fontId="6" fillId="0" borderId="1" xfId="0" applyNumberFormat="1" applyFont="1" applyBorder="1"/>
    <xf numFmtId="4" fontId="6" fillId="0" borderId="1" xfId="0" applyNumberFormat="1" applyFont="1" applyBorder="1"/>
    <xf numFmtId="164" fontId="6" fillId="0" borderId="1" xfId="0" applyNumberFormat="1" applyFont="1" applyBorder="1"/>
    <xf numFmtId="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6" fillId="0" borderId="0" xfId="0" applyFont="1"/>
    <xf numFmtId="164" fontId="6" fillId="5" borderId="0" xfId="0" applyNumberFormat="1" applyFont="1" applyFill="1"/>
    <xf numFmtId="0" fontId="5" fillId="0" borderId="0" xfId="0" applyFont="1"/>
    <xf numFmtId="0" fontId="2" fillId="2" borderId="0" xfId="0" applyFont="1" applyFill="1"/>
  </cellXfs>
  <cellStyles count="1">
    <cellStyle name="Normal" xfId="0" builtinId="0"/>
  </cellStyles>
  <dxfs count="8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tabSelected="1" zoomScaleNormal="100" workbookViewId="0">
      <selection activeCell="A20" sqref="A20"/>
    </sheetView>
  </sheetViews>
  <sheetFormatPr baseColWidth="10" defaultColWidth="8.6640625" defaultRowHeight="15" x14ac:dyDescent="0.2"/>
  <cols>
    <col min="1" max="1" width="26" customWidth="1"/>
    <col min="2" max="2" width="16" customWidth="1"/>
    <col min="3" max="3" width="18" customWidth="1"/>
    <col min="4" max="4" width="16" customWidth="1"/>
    <col min="5" max="5" width="14" customWidth="1"/>
    <col min="6" max="6" width="12" customWidth="1"/>
    <col min="7" max="7" width="10" customWidth="1"/>
  </cols>
  <sheetData>
    <row r="1" spans="1:6" ht="18" x14ac:dyDescent="0.2">
      <c r="A1" s="2" t="s">
        <v>0</v>
      </c>
    </row>
    <row r="3" spans="1:6" ht="16" x14ac:dyDescent="0.2">
      <c r="A3" s="31" t="s">
        <v>1</v>
      </c>
      <c r="B3" s="31"/>
    </row>
    <row r="4" spans="1:6" x14ac:dyDescent="0.2">
      <c r="A4" s="3" t="s">
        <v>2</v>
      </c>
      <c r="B4" s="4">
        <v>36</v>
      </c>
      <c r="C4" s="1" t="s">
        <v>3</v>
      </c>
    </row>
    <row r="5" spans="1:6" x14ac:dyDescent="0.2">
      <c r="A5" s="3" t="s">
        <v>4</v>
      </c>
      <c r="B5" s="4">
        <v>720</v>
      </c>
      <c r="C5" s="1" t="s">
        <v>5</v>
      </c>
    </row>
    <row r="6" spans="1:6" x14ac:dyDescent="0.2">
      <c r="A6" s="3" t="s">
        <v>6</v>
      </c>
      <c r="B6" s="5">
        <v>50000</v>
      </c>
      <c r="C6" s="1" t="s">
        <v>3</v>
      </c>
    </row>
    <row r="7" spans="1:6" x14ac:dyDescent="0.2">
      <c r="A7" s="3" t="s">
        <v>7</v>
      </c>
      <c r="B7" s="6">
        <f>FARMER_SALARY/2/PERM_HOURS</f>
        <v>34.722222222222221</v>
      </c>
      <c r="C7" s="1" t="s">
        <v>8</v>
      </c>
    </row>
    <row r="8" spans="1:6" x14ac:dyDescent="0.2">
      <c r="A8" s="3" t="s">
        <v>9</v>
      </c>
      <c r="B8" s="5">
        <v>25000</v>
      </c>
      <c r="C8" s="1" t="s">
        <v>3</v>
      </c>
    </row>
    <row r="9" spans="1:6" x14ac:dyDescent="0.2">
      <c r="A9" s="3" t="s">
        <v>10</v>
      </c>
      <c r="B9" s="4">
        <v>1440</v>
      </c>
      <c r="C9" s="1" t="s">
        <v>3</v>
      </c>
    </row>
    <row r="10" spans="1:6" x14ac:dyDescent="0.2">
      <c r="A10" s="3" t="s">
        <v>11</v>
      </c>
      <c r="B10" s="6">
        <f>TEMP_WORKER_PAY/TEMP_WORKER_HRS</f>
        <v>17.361111111111111</v>
      </c>
      <c r="C10" s="1" t="s">
        <v>12</v>
      </c>
    </row>
    <row r="11" spans="1:6" x14ac:dyDescent="0.2">
      <c r="A11" s="3" t="s">
        <v>13</v>
      </c>
      <c r="B11" s="4">
        <v>4</v>
      </c>
      <c r="C11" s="1" t="s">
        <v>14</v>
      </c>
    </row>
    <row r="12" spans="1:6" x14ac:dyDescent="0.2">
      <c r="A12" s="3" t="s">
        <v>15</v>
      </c>
      <c r="B12" s="5">
        <v>20000</v>
      </c>
      <c r="C12" s="1" t="s">
        <v>3</v>
      </c>
    </row>
    <row r="13" spans="1:6" x14ac:dyDescent="0.2">
      <c r="A13" s="3" t="s">
        <v>16</v>
      </c>
      <c r="B13" s="4">
        <v>64</v>
      </c>
      <c r="C13" s="1" t="s">
        <v>17</v>
      </c>
    </row>
    <row r="15" spans="1:6" ht="16" x14ac:dyDescent="0.2">
      <c r="A15" s="31" t="s">
        <v>18</v>
      </c>
      <c r="B15" s="31"/>
      <c r="C15" s="31"/>
      <c r="D15" s="31"/>
      <c r="E15" s="31"/>
      <c r="F15" s="31"/>
    </row>
    <row r="16" spans="1:6" x14ac:dyDescent="0.2">
      <c r="A16" s="7" t="s">
        <v>19</v>
      </c>
      <c r="B16" s="7" t="s">
        <v>20</v>
      </c>
      <c r="C16" s="7" t="s">
        <v>21</v>
      </c>
      <c r="D16" s="7" t="s">
        <v>22</v>
      </c>
      <c r="E16" s="7" t="s">
        <v>23</v>
      </c>
      <c r="F16" s="7" t="s">
        <v>24</v>
      </c>
    </row>
    <row r="17" spans="1:6" x14ac:dyDescent="0.2">
      <c r="A17" s="8" t="s">
        <v>25</v>
      </c>
      <c r="B17" s="9">
        <v>2.5</v>
      </c>
      <c r="C17" s="10">
        <v>0.1</v>
      </c>
      <c r="D17" s="11">
        <v>880</v>
      </c>
      <c r="E17" s="11">
        <v>8800</v>
      </c>
      <c r="F17" s="12">
        <v>20</v>
      </c>
    </row>
    <row r="18" spans="1:6" x14ac:dyDescent="0.2">
      <c r="A18" s="8" t="s">
        <v>26</v>
      </c>
      <c r="B18" s="9">
        <f>5/6</f>
        <v>0.83333333333333337</v>
      </c>
      <c r="C18" s="10">
        <v>2.5000000000000001E-2</v>
      </c>
      <c r="D18" s="11">
        <v>440</v>
      </c>
      <c r="E18" s="11">
        <v>2094</v>
      </c>
      <c r="F18" s="12">
        <v>20</v>
      </c>
    </row>
    <row r="19" spans="1:6" x14ac:dyDescent="0.2">
      <c r="A19" s="8" t="s">
        <v>27</v>
      </c>
      <c r="B19" s="9">
        <v>1.25</v>
      </c>
      <c r="C19" s="10">
        <v>1.2500000000000001E-2</v>
      </c>
      <c r="D19" s="11">
        <v>880</v>
      </c>
      <c r="E19" s="11">
        <v>2700</v>
      </c>
      <c r="F19" s="12">
        <v>30</v>
      </c>
    </row>
    <row r="21" spans="1:6" x14ac:dyDescent="0.2">
      <c r="A21" s="30" t="s">
        <v>28</v>
      </c>
      <c r="B21" s="30"/>
      <c r="C21" s="30"/>
      <c r="D21" s="30"/>
      <c r="E21" s="30"/>
      <c r="F21" s="30"/>
    </row>
  </sheetData>
  <mergeCells count="3">
    <mergeCell ref="A3:B3"/>
    <mergeCell ref="A15:F15"/>
    <mergeCell ref="A21:F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6"/>
  <sheetViews>
    <sheetView zoomScaleNormal="100" workbookViewId="0">
      <pane ySplit="3" topLeftCell="A4" activePane="bottomLeft" state="frozen"/>
      <selection pane="bottomLeft"/>
    </sheetView>
  </sheetViews>
  <sheetFormatPr baseColWidth="10" defaultColWidth="8.6640625" defaultRowHeight="15" x14ac:dyDescent="0.2"/>
  <cols>
    <col min="1" max="1" width="8" customWidth="1"/>
    <col min="2" max="3" width="16" customWidth="1"/>
    <col min="4" max="6" width="14" customWidth="1"/>
    <col min="7" max="7" width="12" customWidth="1"/>
    <col min="8" max="8" width="16" customWidth="1"/>
    <col min="9" max="11" width="12" customWidth="1"/>
  </cols>
  <sheetData>
    <row r="1" spans="1:11" ht="18" x14ac:dyDescent="0.2">
      <c r="A1" s="2" t="s">
        <v>29</v>
      </c>
    </row>
    <row r="2" spans="1:11" x14ac:dyDescent="0.2">
      <c r="A2" s="30" t="s">
        <v>30</v>
      </c>
      <c r="B2" s="30"/>
      <c r="C2" s="30"/>
      <c r="D2" s="30"/>
      <c r="E2" s="30"/>
      <c r="F2" s="30"/>
      <c r="G2" s="30"/>
      <c r="H2" s="30"/>
      <c r="I2" s="30"/>
      <c r="J2" s="30"/>
      <c r="K2" s="30"/>
    </row>
    <row r="4" spans="1:11" ht="16" x14ac:dyDescent="0.2">
      <c r="A4" s="31" t="s">
        <v>31</v>
      </c>
      <c r="B4" s="31"/>
      <c r="C4" s="31"/>
      <c r="D4" s="31"/>
      <c r="E4" s="31"/>
      <c r="F4" s="31"/>
      <c r="G4" s="31"/>
      <c r="H4" s="31"/>
      <c r="I4" s="31"/>
      <c r="J4" s="31"/>
      <c r="K4" s="31"/>
    </row>
    <row r="5" spans="1:11" ht="31" x14ac:dyDescent="0.2">
      <c r="A5" s="13" t="s">
        <v>32</v>
      </c>
      <c r="B5" s="13" t="s">
        <v>33</v>
      </c>
      <c r="C5" s="13" t="s">
        <v>34</v>
      </c>
      <c r="D5" s="13" t="s">
        <v>35</v>
      </c>
      <c r="E5" s="13" t="s">
        <v>36</v>
      </c>
      <c r="F5" s="13" t="s">
        <v>37</v>
      </c>
      <c r="G5" s="13" t="s">
        <v>38</v>
      </c>
      <c r="H5" s="13" t="s">
        <v>39</v>
      </c>
      <c r="I5" s="13" t="s">
        <v>40</v>
      </c>
      <c r="J5" s="13" t="s">
        <v>41</v>
      </c>
      <c r="K5" s="13" t="s">
        <v>42</v>
      </c>
    </row>
    <row r="6" spans="1:11" x14ac:dyDescent="0.2">
      <c r="A6" s="14">
        <v>0</v>
      </c>
      <c r="B6" s="14">
        <v>0</v>
      </c>
      <c r="C6" s="14"/>
      <c r="D6" s="14"/>
      <c r="E6" s="14"/>
      <c r="F6" s="14"/>
      <c r="G6" s="14"/>
      <c r="H6" s="14"/>
      <c r="I6" s="14"/>
      <c r="J6" s="14"/>
      <c r="K6" s="14"/>
    </row>
    <row r="7" spans="1:11" x14ac:dyDescent="0.2">
      <c r="A7" s="8">
        <v>1</v>
      </c>
      <c r="B7" s="15">
        <f t="shared" ref="B7:B26" si="0">A7*TOM_HPB*WEEKS*POWER(1+TOM_DIM,A7)</f>
        <v>99.000000000000014</v>
      </c>
      <c r="C7" s="15">
        <f t="shared" ref="C7:C26" si="1">B7-B6</f>
        <v>99.000000000000014</v>
      </c>
      <c r="D7" s="15">
        <f t="shared" ref="D7:D26" si="2">MAX(0,MIN(C7,PERM_HOURS-B6))</f>
        <v>99.000000000000014</v>
      </c>
      <c r="E7" s="15">
        <f t="shared" ref="E7:E26" si="3">C7-D7</f>
        <v>0</v>
      </c>
      <c r="F7" s="16">
        <f t="shared" ref="F7:F26" si="4">D7*PERM_RATE+E7*TEMP_RATE</f>
        <v>3437.5000000000005</v>
      </c>
      <c r="G7" s="17">
        <f t="shared" ref="G7:G26" si="5">TOM_FERT</f>
        <v>880</v>
      </c>
      <c r="H7" s="16">
        <f t="shared" ref="H7:H26" si="6">F7+G7</f>
        <v>4317.5</v>
      </c>
      <c r="I7" s="17">
        <f t="shared" ref="I7:I26" si="7">TOM_PRICE</f>
        <v>8800</v>
      </c>
      <c r="J7" s="16">
        <f t="shared" ref="J7:J26" si="8">I7-H7</f>
        <v>4482.5</v>
      </c>
      <c r="K7" s="8" t="str">
        <f t="shared" ref="K7:K26" si="9">IF(J7&gt;=0,"Plant","Stop")</f>
        <v>Plant</v>
      </c>
    </row>
    <row r="8" spans="1:11" x14ac:dyDescent="0.2">
      <c r="A8" s="8">
        <v>2</v>
      </c>
      <c r="B8" s="15">
        <f t="shared" si="0"/>
        <v>217.80000000000004</v>
      </c>
      <c r="C8" s="15">
        <f t="shared" si="1"/>
        <v>118.80000000000003</v>
      </c>
      <c r="D8" s="15">
        <f t="shared" si="2"/>
        <v>118.80000000000003</v>
      </c>
      <c r="E8" s="15">
        <f t="shared" si="3"/>
        <v>0</v>
      </c>
      <c r="F8" s="16">
        <f t="shared" si="4"/>
        <v>4125.0000000000009</v>
      </c>
      <c r="G8" s="17">
        <f t="shared" si="5"/>
        <v>880</v>
      </c>
      <c r="H8" s="16">
        <f t="shared" si="6"/>
        <v>5005.0000000000009</v>
      </c>
      <c r="I8" s="17">
        <f t="shared" si="7"/>
        <v>8800</v>
      </c>
      <c r="J8" s="16">
        <f t="shared" si="8"/>
        <v>3794.9999999999991</v>
      </c>
      <c r="K8" s="8" t="str">
        <f t="shared" si="9"/>
        <v>Plant</v>
      </c>
    </row>
    <row r="9" spans="1:11" x14ac:dyDescent="0.2">
      <c r="A9" s="8">
        <v>3</v>
      </c>
      <c r="B9" s="15">
        <f t="shared" si="0"/>
        <v>359.37000000000012</v>
      </c>
      <c r="C9" s="15">
        <f t="shared" si="1"/>
        <v>141.57000000000008</v>
      </c>
      <c r="D9" s="15">
        <f t="shared" si="2"/>
        <v>141.57000000000008</v>
      </c>
      <c r="E9" s="15">
        <f t="shared" si="3"/>
        <v>0</v>
      </c>
      <c r="F9" s="16">
        <f t="shared" si="4"/>
        <v>4915.6250000000027</v>
      </c>
      <c r="G9" s="17">
        <f t="shared" si="5"/>
        <v>880</v>
      </c>
      <c r="H9" s="16">
        <f t="shared" si="6"/>
        <v>5795.6250000000027</v>
      </c>
      <c r="I9" s="17">
        <f t="shared" si="7"/>
        <v>8800</v>
      </c>
      <c r="J9" s="16">
        <f t="shared" si="8"/>
        <v>3004.3749999999973</v>
      </c>
      <c r="K9" s="8" t="str">
        <f t="shared" si="9"/>
        <v>Plant</v>
      </c>
    </row>
    <row r="10" spans="1:11" x14ac:dyDescent="0.2">
      <c r="A10" s="8">
        <v>4</v>
      </c>
      <c r="B10" s="15">
        <f t="shared" si="0"/>
        <v>527.07600000000014</v>
      </c>
      <c r="C10" s="15">
        <f t="shared" si="1"/>
        <v>167.70600000000002</v>
      </c>
      <c r="D10" s="15">
        <f t="shared" si="2"/>
        <v>167.70600000000002</v>
      </c>
      <c r="E10" s="15">
        <f t="shared" si="3"/>
        <v>0</v>
      </c>
      <c r="F10" s="16">
        <f t="shared" si="4"/>
        <v>5823.1250000000009</v>
      </c>
      <c r="G10" s="17">
        <f t="shared" si="5"/>
        <v>880</v>
      </c>
      <c r="H10" s="16">
        <f t="shared" si="6"/>
        <v>6703.1250000000009</v>
      </c>
      <c r="I10" s="17">
        <f t="shared" si="7"/>
        <v>8800</v>
      </c>
      <c r="J10" s="16">
        <f t="shared" si="8"/>
        <v>2096.8749999999991</v>
      </c>
      <c r="K10" s="8" t="str">
        <f t="shared" si="9"/>
        <v>Plant</v>
      </c>
    </row>
    <row r="11" spans="1:11" x14ac:dyDescent="0.2">
      <c r="A11" s="8">
        <v>5</v>
      </c>
      <c r="B11" s="15">
        <f t="shared" si="0"/>
        <v>724.72950000000026</v>
      </c>
      <c r="C11" s="15">
        <f t="shared" si="1"/>
        <v>197.65350000000012</v>
      </c>
      <c r="D11" s="15">
        <f t="shared" si="2"/>
        <v>192.92399999999986</v>
      </c>
      <c r="E11" s="15">
        <f t="shared" si="3"/>
        <v>4.7295000000002574</v>
      </c>
      <c r="F11" s="16">
        <f t="shared" si="4"/>
        <v>6780.859375</v>
      </c>
      <c r="G11" s="17">
        <f t="shared" si="5"/>
        <v>880</v>
      </c>
      <c r="H11" s="16">
        <f t="shared" si="6"/>
        <v>7660.859375</v>
      </c>
      <c r="I11" s="17">
        <f t="shared" si="7"/>
        <v>8800</v>
      </c>
      <c r="J11" s="16">
        <f t="shared" si="8"/>
        <v>1139.140625</v>
      </c>
      <c r="K11" s="8" t="str">
        <f t="shared" si="9"/>
        <v>Plant</v>
      </c>
    </row>
    <row r="12" spans="1:11" x14ac:dyDescent="0.2">
      <c r="A12" s="8">
        <v>6</v>
      </c>
      <c r="B12" s="15">
        <f t="shared" si="0"/>
        <v>956.64294000000041</v>
      </c>
      <c r="C12" s="15">
        <f t="shared" si="1"/>
        <v>231.91344000000015</v>
      </c>
      <c r="D12" s="15">
        <f t="shared" si="2"/>
        <v>0</v>
      </c>
      <c r="E12" s="15">
        <f t="shared" si="3"/>
        <v>231.91344000000015</v>
      </c>
      <c r="F12" s="16">
        <f t="shared" si="4"/>
        <v>4026.2750000000024</v>
      </c>
      <c r="G12" s="17">
        <f t="shared" si="5"/>
        <v>880</v>
      </c>
      <c r="H12" s="16">
        <f t="shared" si="6"/>
        <v>4906.2750000000024</v>
      </c>
      <c r="I12" s="17">
        <f t="shared" si="7"/>
        <v>8800</v>
      </c>
      <c r="J12" s="16">
        <f t="shared" si="8"/>
        <v>3893.7249999999976</v>
      </c>
      <c r="K12" s="8" t="str">
        <f t="shared" si="9"/>
        <v>Plant</v>
      </c>
    </row>
    <row r="13" spans="1:11" x14ac:dyDescent="0.2">
      <c r="A13" s="8">
        <v>7</v>
      </c>
      <c r="B13" s="15">
        <f t="shared" si="0"/>
        <v>1227.6917730000007</v>
      </c>
      <c r="C13" s="15">
        <f t="shared" si="1"/>
        <v>271.04883300000029</v>
      </c>
      <c r="D13" s="15">
        <f t="shared" si="2"/>
        <v>0</v>
      </c>
      <c r="E13" s="15">
        <f t="shared" si="3"/>
        <v>271.04883300000029</v>
      </c>
      <c r="F13" s="16">
        <f t="shared" si="4"/>
        <v>4705.7089062500045</v>
      </c>
      <c r="G13" s="17">
        <f t="shared" si="5"/>
        <v>880</v>
      </c>
      <c r="H13" s="16">
        <f t="shared" si="6"/>
        <v>5585.7089062500045</v>
      </c>
      <c r="I13" s="17">
        <f t="shared" si="7"/>
        <v>8800</v>
      </c>
      <c r="J13" s="16">
        <f t="shared" si="8"/>
        <v>3214.2910937499955</v>
      </c>
      <c r="K13" s="8" t="str">
        <f t="shared" si="9"/>
        <v>Plant</v>
      </c>
    </row>
    <row r="14" spans="1:11" x14ac:dyDescent="0.2">
      <c r="A14" s="8">
        <v>8</v>
      </c>
      <c r="B14" s="15">
        <f t="shared" si="0"/>
        <v>1543.3839432000009</v>
      </c>
      <c r="C14" s="15">
        <f t="shared" si="1"/>
        <v>315.69217020000019</v>
      </c>
      <c r="D14" s="15">
        <f t="shared" si="2"/>
        <v>0</v>
      </c>
      <c r="E14" s="15">
        <f t="shared" si="3"/>
        <v>315.69217020000019</v>
      </c>
      <c r="F14" s="16">
        <f t="shared" si="4"/>
        <v>5480.7668437500033</v>
      </c>
      <c r="G14" s="17">
        <f t="shared" si="5"/>
        <v>880</v>
      </c>
      <c r="H14" s="16">
        <f t="shared" si="6"/>
        <v>6360.7668437500033</v>
      </c>
      <c r="I14" s="17">
        <f t="shared" si="7"/>
        <v>8800</v>
      </c>
      <c r="J14" s="16">
        <f t="shared" si="8"/>
        <v>2439.2331562499967</v>
      </c>
      <c r="K14" s="8" t="str">
        <f t="shared" si="9"/>
        <v>Plant</v>
      </c>
    </row>
    <row r="15" spans="1:11" x14ac:dyDescent="0.2">
      <c r="A15" s="8">
        <v>9</v>
      </c>
      <c r="B15" s="15">
        <f t="shared" si="0"/>
        <v>1909.9376297100011</v>
      </c>
      <c r="C15" s="15">
        <f t="shared" si="1"/>
        <v>366.55368651000026</v>
      </c>
      <c r="D15" s="15">
        <f t="shared" si="2"/>
        <v>0</v>
      </c>
      <c r="E15" s="15">
        <f t="shared" si="3"/>
        <v>366.55368651000026</v>
      </c>
      <c r="F15" s="16">
        <f t="shared" si="4"/>
        <v>6363.7792796875046</v>
      </c>
      <c r="G15" s="17">
        <f t="shared" si="5"/>
        <v>880</v>
      </c>
      <c r="H15" s="16">
        <f t="shared" si="6"/>
        <v>7243.7792796875046</v>
      </c>
      <c r="I15" s="17">
        <f t="shared" si="7"/>
        <v>8800</v>
      </c>
      <c r="J15" s="16">
        <f t="shared" si="8"/>
        <v>1556.2207203124954</v>
      </c>
      <c r="K15" s="8" t="str">
        <f t="shared" si="9"/>
        <v>Plant</v>
      </c>
    </row>
    <row r="16" spans="1:11" x14ac:dyDescent="0.2">
      <c r="A16" s="8">
        <v>10</v>
      </c>
      <c r="B16" s="15">
        <f t="shared" si="0"/>
        <v>2334.3682140900019</v>
      </c>
      <c r="C16" s="15">
        <f t="shared" si="1"/>
        <v>424.43058438000071</v>
      </c>
      <c r="D16" s="15">
        <f t="shared" si="2"/>
        <v>0</v>
      </c>
      <c r="E16" s="15">
        <f t="shared" si="3"/>
        <v>424.43058438000071</v>
      </c>
      <c r="F16" s="16">
        <f t="shared" si="4"/>
        <v>7368.586534375012</v>
      </c>
      <c r="G16" s="17">
        <f t="shared" si="5"/>
        <v>880</v>
      </c>
      <c r="H16" s="16">
        <f t="shared" si="6"/>
        <v>8248.586534375012</v>
      </c>
      <c r="I16" s="17">
        <f t="shared" si="7"/>
        <v>8800</v>
      </c>
      <c r="J16" s="16">
        <f t="shared" si="8"/>
        <v>551.41346562498802</v>
      </c>
      <c r="K16" s="8" t="str">
        <f t="shared" si="9"/>
        <v>Plant</v>
      </c>
    </row>
    <row r="17" spans="1:11" x14ac:dyDescent="0.2">
      <c r="A17" s="8">
        <v>11</v>
      </c>
      <c r="B17" s="15">
        <f t="shared" si="0"/>
        <v>2824.5855390489023</v>
      </c>
      <c r="C17" s="15">
        <f t="shared" si="1"/>
        <v>490.21732495890046</v>
      </c>
      <c r="D17" s="15">
        <f t="shared" si="2"/>
        <v>0</v>
      </c>
      <c r="E17" s="15">
        <f t="shared" si="3"/>
        <v>490.21732495890046</v>
      </c>
      <c r="F17" s="16">
        <f t="shared" si="4"/>
        <v>8510.7174472031329</v>
      </c>
      <c r="G17" s="17">
        <f t="shared" si="5"/>
        <v>880</v>
      </c>
      <c r="H17" s="16">
        <f t="shared" si="6"/>
        <v>9390.7174472031329</v>
      </c>
      <c r="I17" s="17">
        <f t="shared" si="7"/>
        <v>8800</v>
      </c>
      <c r="J17" s="16">
        <f t="shared" si="8"/>
        <v>-590.71744720313291</v>
      </c>
      <c r="K17" s="8" t="str">
        <f t="shared" si="9"/>
        <v>Stop</v>
      </c>
    </row>
    <row r="18" spans="1:11" x14ac:dyDescent="0.2">
      <c r="A18" s="8">
        <v>12</v>
      </c>
      <c r="B18" s="15">
        <f t="shared" si="0"/>
        <v>3389.502646858683</v>
      </c>
      <c r="C18" s="15">
        <f t="shared" si="1"/>
        <v>564.91710780978065</v>
      </c>
      <c r="D18" s="15">
        <f t="shared" si="2"/>
        <v>0</v>
      </c>
      <c r="E18" s="15">
        <f t="shared" si="3"/>
        <v>564.91710780978065</v>
      </c>
      <c r="F18" s="16">
        <f t="shared" si="4"/>
        <v>9807.5886772531358</v>
      </c>
      <c r="G18" s="17">
        <f t="shared" si="5"/>
        <v>880</v>
      </c>
      <c r="H18" s="16">
        <f t="shared" si="6"/>
        <v>10687.588677253136</v>
      </c>
      <c r="I18" s="17">
        <f t="shared" si="7"/>
        <v>8800</v>
      </c>
      <c r="J18" s="16">
        <f t="shared" si="8"/>
        <v>-1887.5886772531358</v>
      </c>
      <c r="K18" s="8" t="str">
        <f t="shared" si="9"/>
        <v>Stop</v>
      </c>
    </row>
    <row r="19" spans="1:11" x14ac:dyDescent="0.2">
      <c r="A19" s="8">
        <v>13</v>
      </c>
      <c r="B19" s="15">
        <f t="shared" si="0"/>
        <v>4039.1573208399304</v>
      </c>
      <c r="C19" s="15">
        <f t="shared" si="1"/>
        <v>649.65467398124747</v>
      </c>
      <c r="D19" s="15">
        <f t="shared" si="2"/>
        <v>0</v>
      </c>
      <c r="E19" s="15">
        <f t="shared" si="3"/>
        <v>649.65467398124747</v>
      </c>
      <c r="F19" s="16">
        <f t="shared" si="4"/>
        <v>11278.726978841101</v>
      </c>
      <c r="G19" s="17">
        <f t="shared" si="5"/>
        <v>880</v>
      </c>
      <c r="H19" s="16">
        <f t="shared" si="6"/>
        <v>12158.726978841101</v>
      </c>
      <c r="I19" s="17">
        <f t="shared" si="7"/>
        <v>8800</v>
      </c>
      <c r="J19" s="16">
        <f t="shared" si="8"/>
        <v>-3358.7269788411013</v>
      </c>
      <c r="K19" s="8" t="str">
        <f t="shared" si="9"/>
        <v>Stop</v>
      </c>
    </row>
    <row r="20" spans="1:11" x14ac:dyDescent="0.2">
      <c r="A20" s="8">
        <v>14</v>
      </c>
      <c r="B20" s="15">
        <f t="shared" si="0"/>
        <v>4784.8479031488414</v>
      </c>
      <c r="C20" s="15">
        <f t="shared" si="1"/>
        <v>745.69058230891096</v>
      </c>
      <c r="D20" s="15">
        <f t="shared" si="2"/>
        <v>0</v>
      </c>
      <c r="E20" s="15">
        <f t="shared" si="3"/>
        <v>745.69058230891096</v>
      </c>
      <c r="F20" s="16">
        <f t="shared" si="4"/>
        <v>12946.017053974148</v>
      </c>
      <c r="G20" s="17">
        <f t="shared" si="5"/>
        <v>880</v>
      </c>
      <c r="H20" s="16">
        <f t="shared" si="6"/>
        <v>13826.017053974148</v>
      </c>
      <c r="I20" s="17">
        <f t="shared" si="7"/>
        <v>8800</v>
      </c>
      <c r="J20" s="16">
        <f t="shared" si="8"/>
        <v>-5026.0170539741484</v>
      </c>
      <c r="K20" s="8" t="str">
        <f t="shared" si="9"/>
        <v>Stop</v>
      </c>
    </row>
    <row r="21" spans="1:11" x14ac:dyDescent="0.2">
      <c r="A21" s="8">
        <v>15</v>
      </c>
      <c r="B21" s="15">
        <f t="shared" si="0"/>
        <v>5639.2850287111351</v>
      </c>
      <c r="C21" s="15">
        <f t="shared" si="1"/>
        <v>854.43712556229366</v>
      </c>
      <c r="D21" s="15">
        <f t="shared" si="2"/>
        <v>0</v>
      </c>
      <c r="E21" s="15">
        <f t="shared" si="3"/>
        <v>854.43712556229366</v>
      </c>
      <c r="F21" s="16">
        <f t="shared" si="4"/>
        <v>14833.977874345375</v>
      </c>
      <c r="G21" s="17">
        <f t="shared" si="5"/>
        <v>880</v>
      </c>
      <c r="H21" s="16">
        <f t="shared" si="6"/>
        <v>15713.977874345375</v>
      </c>
      <c r="I21" s="17">
        <f t="shared" si="7"/>
        <v>8800</v>
      </c>
      <c r="J21" s="16">
        <f t="shared" si="8"/>
        <v>-6913.9778743453753</v>
      </c>
      <c r="K21" s="8" t="str">
        <f t="shared" si="9"/>
        <v>Stop</v>
      </c>
    </row>
    <row r="22" spans="1:11" x14ac:dyDescent="0.2">
      <c r="A22" s="8">
        <v>16</v>
      </c>
      <c r="B22" s="15">
        <f t="shared" si="0"/>
        <v>6616.761100354398</v>
      </c>
      <c r="C22" s="15">
        <f t="shared" si="1"/>
        <v>977.47607164326291</v>
      </c>
      <c r="D22" s="15">
        <f t="shared" si="2"/>
        <v>0</v>
      </c>
      <c r="E22" s="15">
        <f t="shared" si="3"/>
        <v>977.47607164326291</v>
      </c>
      <c r="F22" s="16">
        <f t="shared" si="4"/>
        <v>16970.070688251093</v>
      </c>
      <c r="G22" s="17">
        <f t="shared" si="5"/>
        <v>880</v>
      </c>
      <c r="H22" s="16">
        <f t="shared" si="6"/>
        <v>17850.070688251093</v>
      </c>
      <c r="I22" s="17">
        <f t="shared" si="7"/>
        <v>8800</v>
      </c>
      <c r="J22" s="16">
        <f t="shared" si="8"/>
        <v>-9050.0706882510931</v>
      </c>
      <c r="K22" s="8" t="str">
        <f t="shared" si="9"/>
        <v>Stop</v>
      </c>
    </row>
    <row r="23" spans="1:11" x14ac:dyDescent="0.2">
      <c r="A23" s="8">
        <v>17</v>
      </c>
      <c r="B23" s="15">
        <f t="shared" si="0"/>
        <v>7733.3395360392033</v>
      </c>
      <c r="C23" s="15">
        <f t="shared" si="1"/>
        <v>1116.5784356848053</v>
      </c>
      <c r="D23" s="15">
        <f t="shared" si="2"/>
        <v>0</v>
      </c>
      <c r="E23" s="15">
        <f t="shared" si="3"/>
        <v>1116.5784356848053</v>
      </c>
      <c r="F23" s="16">
        <f t="shared" si="4"/>
        <v>19385.042286194537</v>
      </c>
      <c r="G23" s="17">
        <f t="shared" si="5"/>
        <v>880</v>
      </c>
      <c r="H23" s="16">
        <f t="shared" si="6"/>
        <v>20265.042286194537</v>
      </c>
      <c r="I23" s="17">
        <f t="shared" si="7"/>
        <v>8800</v>
      </c>
      <c r="J23" s="16">
        <f t="shared" si="8"/>
        <v>-11465.042286194537</v>
      </c>
      <c r="K23" s="8" t="str">
        <f t="shared" si="9"/>
        <v>Stop</v>
      </c>
    </row>
    <row r="24" spans="1:11" x14ac:dyDescent="0.2">
      <c r="A24" s="8">
        <v>18</v>
      </c>
      <c r="B24" s="15">
        <f t="shared" si="0"/>
        <v>9007.0660478574246</v>
      </c>
      <c r="C24" s="15">
        <f t="shared" si="1"/>
        <v>1273.7265118182213</v>
      </c>
      <c r="D24" s="15">
        <f t="shared" si="2"/>
        <v>0</v>
      </c>
      <c r="E24" s="15">
        <f t="shared" si="3"/>
        <v>1273.7265118182213</v>
      </c>
      <c r="F24" s="16">
        <f t="shared" si="4"/>
        <v>22113.307496844118</v>
      </c>
      <c r="G24" s="17">
        <f t="shared" si="5"/>
        <v>880</v>
      </c>
      <c r="H24" s="16">
        <f t="shared" si="6"/>
        <v>22993.307496844118</v>
      </c>
      <c r="I24" s="17">
        <f t="shared" si="7"/>
        <v>8800</v>
      </c>
      <c r="J24" s="16">
        <f t="shared" si="8"/>
        <v>-14193.307496844118</v>
      </c>
      <c r="K24" s="8" t="str">
        <f t="shared" si="9"/>
        <v>Stop</v>
      </c>
    </row>
    <row r="25" spans="1:11" x14ac:dyDescent="0.2">
      <c r="A25" s="8">
        <v>19</v>
      </c>
      <c r="B25" s="15">
        <f t="shared" si="0"/>
        <v>10458.204466678902</v>
      </c>
      <c r="C25" s="15">
        <f t="shared" si="1"/>
        <v>1451.1384188214779</v>
      </c>
      <c r="D25" s="15">
        <f t="shared" si="2"/>
        <v>0</v>
      </c>
      <c r="E25" s="15">
        <f t="shared" si="3"/>
        <v>1451.1384188214779</v>
      </c>
      <c r="F25" s="16">
        <f t="shared" si="4"/>
        <v>25193.375326761769</v>
      </c>
      <c r="G25" s="17">
        <f t="shared" si="5"/>
        <v>880</v>
      </c>
      <c r="H25" s="16">
        <f t="shared" si="6"/>
        <v>26073.375326761769</v>
      </c>
      <c r="I25" s="17">
        <f t="shared" si="7"/>
        <v>8800</v>
      </c>
      <c r="J25" s="16">
        <f t="shared" si="8"/>
        <v>-17273.375326761769</v>
      </c>
      <c r="K25" s="8" t="str">
        <f t="shared" si="9"/>
        <v>Stop</v>
      </c>
    </row>
    <row r="26" spans="1:11" x14ac:dyDescent="0.2">
      <c r="A26" s="8">
        <v>20</v>
      </c>
      <c r="B26" s="15">
        <f t="shared" si="0"/>
        <v>12109.499908786096</v>
      </c>
      <c r="C26" s="15">
        <f t="shared" si="1"/>
        <v>1651.2954421071936</v>
      </c>
      <c r="D26" s="15">
        <f t="shared" si="2"/>
        <v>0</v>
      </c>
      <c r="E26" s="15">
        <f t="shared" si="3"/>
        <v>1651.2954421071936</v>
      </c>
      <c r="F26" s="16">
        <f t="shared" si="4"/>
        <v>28668.323647694331</v>
      </c>
      <c r="G26" s="17">
        <f t="shared" si="5"/>
        <v>880</v>
      </c>
      <c r="H26" s="16">
        <f t="shared" si="6"/>
        <v>29548.323647694331</v>
      </c>
      <c r="I26" s="17">
        <f t="shared" si="7"/>
        <v>8800</v>
      </c>
      <c r="J26" s="16">
        <f t="shared" si="8"/>
        <v>-20748.323647694331</v>
      </c>
      <c r="K26" s="8" t="str">
        <f t="shared" si="9"/>
        <v>Stop</v>
      </c>
    </row>
    <row r="28" spans="1:11" ht="16" x14ac:dyDescent="0.2">
      <c r="A28" s="31" t="s">
        <v>43</v>
      </c>
      <c r="B28" s="31"/>
      <c r="C28" s="31"/>
      <c r="D28" s="31"/>
      <c r="E28" s="31"/>
      <c r="F28" s="31"/>
      <c r="G28" s="31"/>
      <c r="H28" s="31"/>
      <c r="I28" s="31"/>
      <c r="J28" s="31"/>
      <c r="K28" s="31"/>
    </row>
    <row r="29" spans="1:11" ht="31" x14ac:dyDescent="0.2">
      <c r="A29" s="13" t="s">
        <v>32</v>
      </c>
      <c r="B29" s="13" t="s">
        <v>33</v>
      </c>
      <c r="C29" s="13" t="s">
        <v>34</v>
      </c>
      <c r="D29" s="13" t="s">
        <v>35</v>
      </c>
      <c r="E29" s="13" t="s">
        <v>36</v>
      </c>
      <c r="F29" s="13" t="s">
        <v>37</v>
      </c>
      <c r="G29" s="13" t="s">
        <v>38</v>
      </c>
      <c r="H29" s="13" t="s">
        <v>39</v>
      </c>
      <c r="I29" s="13" t="s">
        <v>40</v>
      </c>
      <c r="J29" s="13" t="s">
        <v>41</v>
      </c>
      <c r="K29" s="13" t="s">
        <v>42</v>
      </c>
    </row>
    <row r="30" spans="1:11" x14ac:dyDescent="0.2">
      <c r="A30" s="14">
        <v>0</v>
      </c>
      <c r="B30" s="14">
        <v>0</v>
      </c>
      <c r="C30" s="14"/>
      <c r="D30" s="14"/>
      <c r="E30" s="14"/>
      <c r="F30" s="14"/>
      <c r="G30" s="14"/>
      <c r="H30" s="14"/>
      <c r="I30" s="14"/>
      <c r="J30" s="14"/>
      <c r="K30" s="14"/>
    </row>
    <row r="31" spans="1:11" x14ac:dyDescent="0.2">
      <c r="A31" s="8">
        <v>1</v>
      </c>
      <c r="B31" s="15">
        <f t="shared" ref="B31:B50" si="10">A31*CAR_HPB*WEEKS*POWER(1+CAR_DIM,A31)</f>
        <v>30.749999999999996</v>
      </c>
      <c r="C31" s="15">
        <f t="shared" ref="C31:C50" si="11">B31-B30</f>
        <v>30.749999999999996</v>
      </c>
      <c r="D31" s="15">
        <f t="shared" ref="D31:D50" si="12">MAX(0,MIN(C31,PERM_HOURS-B30))</f>
        <v>30.749999999999996</v>
      </c>
      <c r="E31" s="15">
        <f t="shared" ref="E31:E50" si="13">C31-D31</f>
        <v>0</v>
      </c>
      <c r="F31" s="16">
        <f t="shared" ref="F31:F50" si="14">D31*PERM_RATE+E31*TEMP_RATE</f>
        <v>1067.7083333333333</v>
      </c>
      <c r="G31" s="17">
        <f t="shared" ref="G31:G50" si="15">CAR_FERT</f>
        <v>440</v>
      </c>
      <c r="H31" s="16">
        <f t="shared" ref="H31:H50" si="16">F31+G31</f>
        <v>1507.7083333333333</v>
      </c>
      <c r="I31" s="17">
        <f t="shared" ref="I31:I50" si="17">CAR_PRICE</f>
        <v>2094</v>
      </c>
      <c r="J31" s="16">
        <f t="shared" ref="J31:J50" si="18">I31-H31</f>
        <v>586.29166666666674</v>
      </c>
      <c r="K31" s="8" t="str">
        <f t="shared" ref="K31:K50" si="19">IF(J31&gt;=0,"Plant","Stop")</f>
        <v>Plant</v>
      </c>
    </row>
    <row r="32" spans="1:11" x14ac:dyDescent="0.2">
      <c r="A32" s="8">
        <v>2</v>
      </c>
      <c r="B32" s="15">
        <f t="shared" si="10"/>
        <v>63.037499999999994</v>
      </c>
      <c r="C32" s="15">
        <f t="shared" si="11"/>
        <v>32.287499999999994</v>
      </c>
      <c r="D32" s="15">
        <f t="shared" si="12"/>
        <v>32.287499999999994</v>
      </c>
      <c r="E32" s="15">
        <f t="shared" si="13"/>
        <v>0</v>
      </c>
      <c r="F32" s="16">
        <f t="shared" si="14"/>
        <v>1121.0937499999998</v>
      </c>
      <c r="G32" s="17">
        <f t="shared" si="15"/>
        <v>440</v>
      </c>
      <c r="H32" s="16">
        <f t="shared" si="16"/>
        <v>1561.0937499999998</v>
      </c>
      <c r="I32" s="17">
        <f t="shared" si="17"/>
        <v>2094</v>
      </c>
      <c r="J32" s="16">
        <f t="shared" si="18"/>
        <v>532.90625000000023</v>
      </c>
      <c r="K32" s="8" t="str">
        <f t="shared" si="19"/>
        <v>Plant</v>
      </c>
    </row>
    <row r="33" spans="1:11" x14ac:dyDescent="0.2">
      <c r="A33" s="8">
        <v>3</v>
      </c>
      <c r="B33" s="15">
        <f t="shared" si="10"/>
        <v>96.920156249999991</v>
      </c>
      <c r="C33" s="15">
        <f t="shared" si="11"/>
        <v>33.882656249999997</v>
      </c>
      <c r="D33" s="15">
        <f t="shared" si="12"/>
        <v>33.882656249999997</v>
      </c>
      <c r="E33" s="15">
        <f t="shared" si="13"/>
        <v>0</v>
      </c>
      <c r="F33" s="16">
        <f t="shared" si="14"/>
        <v>1176.4811197916665</v>
      </c>
      <c r="G33" s="17">
        <f t="shared" si="15"/>
        <v>440</v>
      </c>
      <c r="H33" s="16">
        <f t="shared" si="16"/>
        <v>1616.4811197916665</v>
      </c>
      <c r="I33" s="17">
        <f t="shared" si="17"/>
        <v>2094</v>
      </c>
      <c r="J33" s="16">
        <f t="shared" si="18"/>
        <v>477.51888020833348</v>
      </c>
      <c r="K33" s="8" t="str">
        <f t="shared" si="19"/>
        <v>Plant</v>
      </c>
    </row>
    <row r="34" spans="1:11" x14ac:dyDescent="0.2">
      <c r="A34" s="8">
        <v>4</v>
      </c>
      <c r="B34" s="15">
        <f t="shared" si="10"/>
        <v>132.45754687499996</v>
      </c>
      <c r="C34" s="15">
        <f t="shared" si="11"/>
        <v>35.537390624999972</v>
      </c>
      <c r="D34" s="15">
        <f t="shared" si="12"/>
        <v>35.537390624999972</v>
      </c>
      <c r="E34" s="15">
        <f t="shared" si="13"/>
        <v>0</v>
      </c>
      <c r="F34" s="16">
        <f t="shared" si="14"/>
        <v>1233.9371744791656</v>
      </c>
      <c r="G34" s="17">
        <f t="shared" si="15"/>
        <v>440</v>
      </c>
      <c r="H34" s="16">
        <f t="shared" si="16"/>
        <v>1673.9371744791656</v>
      </c>
      <c r="I34" s="17">
        <f t="shared" si="17"/>
        <v>2094</v>
      </c>
      <c r="J34" s="16">
        <f t="shared" si="18"/>
        <v>420.06282552083439</v>
      </c>
      <c r="K34" s="8" t="str">
        <f t="shared" si="19"/>
        <v>Plant</v>
      </c>
    </row>
    <row r="35" spans="1:11" x14ac:dyDescent="0.2">
      <c r="A35" s="8">
        <v>5</v>
      </c>
      <c r="B35" s="15">
        <f t="shared" si="10"/>
        <v>169.71123193359369</v>
      </c>
      <c r="C35" s="15">
        <f t="shared" si="11"/>
        <v>37.253685058593732</v>
      </c>
      <c r="D35" s="15">
        <f t="shared" si="12"/>
        <v>37.253685058593732</v>
      </c>
      <c r="E35" s="15">
        <f t="shared" si="13"/>
        <v>0</v>
      </c>
      <c r="F35" s="16">
        <f t="shared" si="14"/>
        <v>1293.5307312011712</v>
      </c>
      <c r="G35" s="17">
        <f t="shared" si="15"/>
        <v>440</v>
      </c>
      <c r="H35" s="16">
        <f t="shared" si="16"/>
        <v>1733.5307312011712</v>
      </c>
      <c r="I35" s="17">
        <f t="shared" si="17"/>
        <v>2094</v>
      </c>
      <c r="J35" s="16">
        <f t="shared" si="18"/>
        <v>360.46926879882881</v>
      </c>
      <c r="K35" s="8" t="str">
        <f t="shared" si="19"/>
        <v>Plant</v>
      </c>
    </row>
    <row r="36" spans="1:11" x14ac:dyDescent="0.2">
      <c r="A36" s="8">
        <v>6</v>
      </c>
      <c r="B36" s="15">
        <f t="shared" si="10"/>
        <v>208.74481527832023</v>
      </c>
      <c r="C36" s="15">
        <f t="shared" si="11"/>
        <v>39.033583344726537</v>
      </c>
      <c r="D36" s="15">
        <f t="shared" si="12"/>
        <v>39.033583344726537</v>
      </c>
      <c r="E36" s="15">
        <f t="shared" si="13"/>
        <v>0</v>
      </c>
      <c r="F36" s="16">
        <f t="shared" si="14"/>
        <v>1355.332755025227</v>
      </c>
      <c r="G36" s="17">
        <f t="shared" si="15"/>
        <v>440</v>
      </c>
      <c r="H36" s="16">
        <f t="shared" si="16"/>
        <v>1795.332755025227</v>
      </c>
      <c r="I36" s="17">
        <f t="shared" si="17"/>
        <v>2094</v>
      </c>
      <c r="J36" s="16">
        <f t="shared" si="18"/>
        <v>298.66724497477298</v>
      </c>
      <c r="K36" s="8" t="str">
        <f t="shared" si="19"/>
        <v>Plant</v>
      </c>
    </row>
    <row r="37" spans="1:11" x14ac:dyDescent="0.2">
      <c r="A37" s="8">
        <v>7</v>
      </c>
      <c r="B37" s="15">
        <f t="shared" si="10"/>
        <v>249.62400827032465</v>
      </c>
      <c r="C37" s="15">
        <f t="shared" si="11"/>
        <v>40.87919299200442</v>
      </c>
      <c r="D37" s="15">
        <f t="shared" si="12"/>
        <v>40.87919299200442</v>
      </c>
      <c r="E37" s="15">
        <f t="shared" si="13"/>
        <v>0</v>
      </c>
      <c r="F37" s="16">
        <f t="shared" si="14"/>
        <v>1419.4164233334868</v>
      </c>
      <c r="G37" s="17">
        <f t="shared" si="15"/>
        <v>440</v>
      </c>
      <c r="H37" s="16">
        <f t="shared" si="16"/>
        <v>1859.4164233334868</v>
      </c>
      <c r="I37" s="17">
        <f t="shared" si="17"/>
        <v>2094</v>
      </c>
      <c r="J37" s="16">
        <f t="shared" si="18"/>
        <v>234.58357666651318</v>
      </c>
      <c r="K37" s="8" t="str">
        <f t="shared" si="19"/>
        <v>Plant</v>
      </c>
    </row>
    <row r="38" spans="1:11" x14ac:dyDescent="0.2">
      <c r="A38" s="8">
        <v>8</v>
      </c>
      <c r="B38" s="15">
        <f t="shared" si="10"/>
        <v>292.41669540238024</v>
      </c>
      <c r="C38" s="15">
        <f t="shared" si="11"/>
        <v>42.79268713205559</v>
      </c>
      <c r="D38" s="15">
        <f t="shared" si="12"/>
        <v>42.79268713205559</v>
      </c>
      <c r="E38" s="15">
        <f t="shared" si="13"/>
        <v>0</v>
      </c>
      <c r="F38" s="16">
        <f t="shared" si="14"/>
        <v>1485.8571920852635</v>
      </c>
      <c r="G38" s="17">
        <f t="shared" si="15"/>
        <v>440</v>
      </c>
      <c r="H38" s="16">
        <f t="shared" si="16"/>
        <v>1925.8571920852635</v>
      </c>
      <c r="I38" s="17">
        <f t="shared" si="17"/>
        <v>2094</v>
      </c>
      <c r="J38" s="16">
        <f t="shared" si="18"/>
        <v>168.14280791473652</v>
      </c>
      <c r="K38" s="8" t="str">
        <f t="shared" si="19"/>
        <v>Plant</v>
      </c>
    </row>
    <row r="39" spans="1:11" x14ac:dyDescent="0.2">
      <c r="A39" s="8">
        <v>9</v>
      </c>
      <c r="B39" s="15">
        <f t="shared" si="10"/>
        <v>337.19300188586965</v>
      </c>
      <c r="C39" s="15">
        <f t="shared" si="11"/>
        <v>44.776306483489407</v>
      </c>
      <c r="D39" s="15">
        <f t="shared" si="12"/>
        <v>44.776306483489407</v>
      </c>
      <c r="E39" s="15">
        <f t="shared" si="13"/>
        <v>0</v>
      </c>
      <c r="F39" s="16">
        <f t="shared" si="14"/>
        <v>1554.7328640100488</v>
      </c>
      <c r="G39" s="17">
        <f t="shared" si="15"/>
        <v>440</v>
      </c>
      <c r="H39" s="16">
        <f t="shared" si="16"/>
        <v>1994.7328640100488</v>
      </c>
      <c r="I39" s="17">
        <f t="shared" si="17"/>
        <v>2094</v>
      </c>
      <c r="J39" s="16">
        <f t="shared" si="18"/>
        <v>99.267135989951157</v>
      </c>
      <c r="K39" s="8" t="str">
        <f t="shared" si="19"/>
        <v>Plant</v>
      </c>
    </row>
    <row r="40" spans="1:11" x14ac:dyDescent="0.2">
      <c r="A40" s="8">
        <v>10</v>
      </c>
      <c r="B40" s="15">
        <f t="shared" si="10"/>
        <v>384.02536325890713</v>
      </c>
      <c r="C40" s="15">
        <f t="shared" si="11"/>
        <v>46.832361373037486</v>
      </c>
      <c r="D40" s="15">
        <f t="shared" si="12"/>
        <v>46.832361373037486</v>
      </c>
      <c r="E40" s="15">
        <f t="shared" si="13"/>
        <v>0</v>
      </c>
      <c r="F40" s="16">
        <f t="shared" si="14"/>
        <v>1626.1236587860237</v>
      </c>
      <c r="G40" s="17">
        <f t="shared" si="15"/>
        <v>440</v>
      </c>
      <c r="H40" s="16">
        <f t="shared" si="16"/>
        <v>2066.123658786024</v>
      </c>
      <c r="I40" s="17">
        <f t="shared" si="17"/>
        <v>2094</v>
      </c>
      <c r="J40" s="16">
        <f t="shared" si="18"/>
        <v>27.876341213976048</v>
      </c>
      <c r="K40" s="8" t="str">
        <f t="shared" si="19"/>
        <v>Plant</v>
      </c>
    </row>
    <row r="41" spans="1:11" x14ac:dyDescent="0.2">
      <c r="A41" s="8">
        <v>11</v>
      </c>
      <c r="B41" s="15">
        <f t="shared" si="10"/>
        <v>432.98859707441784</v>
      </c>
      <c r="C41" s="15">
        <f t="shared" si="11"/>
        <v>48.963233815510705</v>
      </c>
      <c r="D41" s="15">
        <f t="shared" si="12"/>
        <v>48.963233815510705</v>
      </c>
      <c r="E41" s="15">
        <f t="shared" si="13"/>
        <v>0</v>
      </c>
      <c r="F41" s="16">
        <f t="shared" si="14"/>
        <v>1700.1122852607884</v>
      </c>
      <c r="G41" s="17">
        <f t="shared" si="15"/>
        <v>440</v>
      </c>
      <c r="H41" s="16">
        <f t="shared" si="16"/>
        <v>2140.1122852607887</v>
      </c>
      <c r="I41" s="17">
        <f t="shared" si="17"/>
        <v>2094</v>
      </c>
      <c r="J41" s="16">
        <f t="shared" si="18"/>
        <v>-46.112285260788667</v>
      </c>
      <c r="K41" s="8" t="str">
        <f t="shared" si="19"/>
        <v>Stop</v>
      </c>
    </row>
    <row r="42" spans="1:11" x14ac:dyDescent="0.2">
      <c r="A42" s="8">
        <v>12</v>
      </c>
      <c r="B42" s="15">
        <f t="shared" si="10"/>
        <v>484.15997672866712</v>
      </c>
      <c r="C42" s="15">
        <f t="shared" si="11"/>
        <v>51.171379654249279</v>
      </c>
      <c r="D42" s="15">
        <f t="shared" si="12"/>
        <v>51.171379654249279</v>
      </c>
      <c r="E42" s="15">
        <f t="shared" si="13"/>
        <v>0</v>
      </c>
      <c r="F42" s="16">
        <f t="shared" si="14"/>
        <v>1776.7840157725443</v>
      </c>
      <c r="G42" s="17">
        <f t="shared" si="15"/>
        <v>440</v>
      </c>
      <c r="H42" s="16">
        <f t="shared" si="16"/>
        <v>2216.7840157725441</v>
      </c>
      <c r="I42" s="17">
        <f t="shared" si="17"/>
        <v>2094</v>
      </c>
      <c r="J42" s="16">
        <f t="shared" si="18"/>
        <v>-122.78401577254408</v>
      </c>
      <c r="K42" s="8" t="str">
        <f t="shared" si="19"/>
        <v>Stop</v>
      </c>
    </row>
    <row r="43" spans="1:11" x14ac:dyDescent="0.2">
      <c r="A43" s="8">
        <v>13</v>
      </c>
      <c r="B43" s="15">
        <f t="shared" si="10"/>
        <v>537.61930749245744</v>
      </c>
      <c r="C43" s="15">
        <f t="shared" si="11"/>
        <v>53.459330763790319</v>
      </c>
      <c r="D43" s="15">
        <f t="shared" si="12"/>
        <v>53.459330763790319</v>
      </c>
      <c r="E43" s="15">
        <f t="shared" si="13"/>
        <v>0</v>
      </c>
      <c r="F43" s="16">
        <f t="shared" si="14"/>
        <v>1856.2267626316084</v>
      </c>
      <c r="G43" s="17">
        <f t="shared" si="15"/>
        <v>440</v>
      </c>
      <c r="H43" s="16">
        <f t="shared" si="16"/>
        <v>2296.2267626316084</v>
      </c>
      <c r="I43" s="17">
        <f t="shared" si="17"/>
        <v>2094</v>
      </c>
      <c r="J43" s="16">
        <f t="shared" si="18"/>
        <v>-202.22676263160838</v>
      </c>
      <c r="K43" s="8" t="str">
        <f t="shared" si="19"/>
        <v>Stop</v>
      </c>
    </row>
    <row r="44" spans="1:11" x14ac:dyDescent="0.2">
      <c r="A44" s="8">
        <v>14</v>
      </c>
      <c r="B44" s="15">
        <f t="shared" si="10"/>
        <v>593.44900480898184</v>
      </c>
      <c r="C44" s="15">
        <f t="shared" si="11"/>
        <v>55.829697316524403</v>
      </c>
      <c r="D44" s="15">
        <f t="shared" si="12"/>
        <v>55.829697316524403</v>
      </c>
      <c r="E44" s="15">
        <f t="shared" si="13"/>
        <v>0</v>
      </c>
      <c r="F44" s="16">
        <f t="shared" si="14"/>
        <v>1938.5311568237639</v>
      </c>
      <c r="G44" s="17">
        <f t="shared" si="15"/>
        <v>440</v>
      </c>
      <c r="H44" s="16">
        <f t="shared" si="16"/>
        <v>2378.5311568237639</v>
      </c>
      <c r="I44" s="17">
        <f t="shared" si="17"/>
        <v>2094</v>
      </c>
      <c r="J44" s="16">
        <f t="shared" si="18"/>
        <v>-284.53115682376392</v>
      </c>
      <c r="K44" s="8" t="str">
        <f t="shared" si="19"/>
        <v>Stop</v>
      </c>
    </row>
    <row r="45" spans="1:11" x14ac:dyDescent="0.2">
      <c r="A45" s="8">
        <v>15</v>
      </c>
      <c r="B45" s="15">
        <f t="shared" si="10"/>
        <v>651.73417492414967</v>
      </c>
      <c r="C45" s="15">
        <f t="shared" si="11"/>
        <v>58.28517011516783</v>
      </c>
      <c r="D45" s="15">
        <f t="shared" si="12"/>
        <v>58.28517011516783</v>
      </c>
      <c r="E45" s="15">
        <f t="shared" si="13"/>
        <v>0</v>
      </c>
      <c r="F45" s="16">
        <f t="shared" si="14"/>
        <v>2023.790628998883</v>
      </c>
      <c r="G45" s="17">
        <f t="shared" si="15"/>
        <v>440</v>
      </c>
      <c r="H45" s="16">
        <f t="shared" si="16"/>
        <v>2463.7906289988832</v>
      </c>
      <c r="I45" s="17">
        <f t="shared" si="17"/>
        <v>2094</v>
      </c>
      <c r="J45" s="16">
        <f t="shared" si="18"/>
        <v>-369.79062899888322</v>
      </c>
      <c r="K45" s="8" t="str">
        <f t="shared" si="19"/>
        <v>Stop</v>
      </c>
    </row>
    <row r="46" spans="1:11" x14ac:dyDescent="0.2">
      <c r="A46" s="8">
        <v>16</v>
      </c>
      <c r="B46" s="15">
        <f t="shared" si="10"/>
        <v>712.5626979170703</v>
      </c>
      <c r="C46" s="15">
        <f t="shared" si="11"/>
        <v>60.828522992920625</v>
      </c>
      <c r="D46" s="15">
        <f t="shared" si="12"/>
        <v>60.828522992920625</v>
      </c>
      <c r="E46" s="15">
        <f t="shared" si="13"/>
        <v>0</v>
      </c>
      <c r="F46" s="16">
        <f t="shared" si="14"/>
        <v>2112.1014928097438</v>
      </c>
      <c r="G46" s="17">
        <f t="shared" si="15"/>
        <v>440</v>
      </c>
      <c r="H46" s="16">
        <f t="shared" si="16"/>
        <v>2552.1014928097438</v>
      </c>
      <c r="I46" s="17">
        <f t="shared" si="17"/>
        <v>2094</v>
      </c>
      <c r="J46" s="16">
        <f t="shared" si="18"/>
        <v>-458.10149280974383</v>
      </c>
      <c r="K46" s="8" t="str">
        <f t="shared" si="19"/>
        <v>Stop</v>
      </c>
    </row>
    <row r="47" spans="1:11" x14ac:dyDescent="0.2">
      <c r="A47" s="8">
        <v>17</v>
      </c>
      <c r="B47" s="15">
        <f t="shared" si="10"/>
        <v>776.02531320030937</v>
      </c>
      <c r="C47" s="15">
        <f t="shared" si="11"/>
        <v>63.462615283239074</v>
      </c>
      <c r="D47" s="15">
        <f t="shared" si="12"/>
        <v>7.4373020829297047</v>
      </c>
      <c r="E47" s="15">
        <f t="shared" si="13"/>
        <v>56.02531320030937</v>
      </c>
      <c r="F47" s="16">
        <f t="shared" si="14"/>
        <v>1230.9013431626524</v>
      </c>
      <c r="G47" s="17">
        <f t="shared" si="15"/>
        <v>440</v>
      </c>
      <c r="H47" s="16">
        <f t="shared" si="16"/>
        <v>1670.9013431626524</v>
      </c>
      <c r="I47" s="17">
        <f t="shared" si="17"/>
        <v>2094</v>
      </c>
      <c r="J47" s="16">
        <f t="shared" si="18"/>
        <v>423.09865683734756</v>
      </c>
      <c r="K47" s="8" t="str">
        <f t="shared" si="19"/>
        <v>Plant</v>
      </c>
    </row>
    <row r="48" spans="1:11" x14ac:dyDescent="0.2">
      <c r="A48" s="8">
        <v>18</v>
      </c>
      <c r="B48" s="15">
        <f t="shared" si="10"/>
        <v>842.2157075615122</v>
      </c>
      <c r="C48" s="15">
        <f t="shared" si="11"/>
        <v>66.190394361202834</v>
      </c>
      <c r="D48" s="15">
        <f t="shared" si="12"/>
        <v>0</v>
      </c>
      <c r="E48" s="15">
        <f t="shared" si="13"/>
        <v>66.190394361202834</v>
      </c>
      <c r="F48" s="16">
        <f t="shared" si="14"/>
        <v>1149.1387909931047</v>
      </c>
      <c r="G48" s="17">
        <f t="shared" si="15"/>
        <v>440</v>
      </c>
      <c r="H48" s="16">
        <f t="shared" si="16"/>
        <v>1589.1387909931047</v>
      </c>
      <c r="I48" s="17">
        <f t="shared" si="17"/>
        <v>2094</v>
      </c>
      <c r="J48" s="16">
        <f t="shared" si="18"/>
        <v>504.86120900689525</v>
      </c>
      <c r="K48" s="8" t="str">
        <f t="shared" si="19"/>
        <v>Plant</v>
      </c>
    </row>
    <row r="49" spans="1:11" x14ac:dyDescent="0.2">
      <c r="A49" s="8">
        <v>19</v>
      </c>
      <c r="B49" s="15">
        <f t="shared" si="10"/>
        <v>911.23060582002495</v>
      </c>
      <c r="C49" s="15">
        <f t="shared" si="11"/>
        <v>69.014898258512744</v>
      </c>
      <c r="D49" s="15">
        <f t="shared" si="12"/>
        <v>0</v>
      </c>
      <c r="E49" s="15">
        <f t="shared" si="13"/>
        <v>69.014898258512744</v>
      </c>
      <c r="F49" s="16">
        <f t="shared" si="14"/>
        <v>1198.1753169880685</v>
      </c>
      <c r="G49" s="17">
        <f t="shared" si="15"/>
        <v>440</v>
      </c>
      <c r="H49" s="16">
        <f t="shared" si="16"/>
        <v>1638.1753169880685</v>
      </c>
      <c r="I49" s="17">
        <f t="shared" si="17"/>
        <v>2094</v>
      </c>
      <c r="J49" s="16">
        <f t="shared" si="18"/>
        <v>455.82468301193148</v>
      </c>
      <c r="K49" s="8" t="str">
        <f t="shared" si="19"/>
        <v>Plant</v>
      </c>
    </row>
    <row r="50" spans="1:11" x14ac:dyDescent="0.2">
      <c r="A50" s="8">
        <v>20</v>
      </c>
      <c r="B50" s="15">
        <f t="shared" si="10"/>
        <v>983.16986417423732</v>
      </c>
      <c r="C50" s="15">
        <f t="shared" si="11"/>
        <v>71.93925835421237</v>
      </c>
      <c r="D50" s="15">
        <f t="shared" si="12"/>
        <v>0</v>
      </c>
      <c r="E50" s="15">
        <f t="shared" si="13"/>
        <v>71.93925835421237</v>
      </c>
      <c r="F50" s="16">
        <f t="shared" si="14"/>
        <v>1248.9454575384091</v>
      </c>
      <c r="G50" s="17">
        <f t="shared" si="15"/>
        <v>440</v>
      </c>
      <c r="H50" s="16">
        <f t="shared" si="16"/>
        <v>1688.9454575384091</v>
      </c>
      <c r="I50" s="17">
        <f t="shared" si="17"/>
        <v>2094</v>
      </c>
      <c r="J50" s="16">
        <f t="shared" si="18"/>
        <v>405.05454246159093</v>
      </c>
      <c r="K50" s="8" t="str">
        <f t="shared" si="19"/>
        <v>Plant</v>
      </c>
    </row>
    <row r="52" spans="1:11" ht="16" x14ac:dyDescent="0.2">
      <c r="A52" s="31" t="s">
        <v>44</v>
      </c>
      <c r="B52" s="31"/>
      <c r="C52" s="31"/>
      <c r="D52" s="31"/>
      <c r="E52" s="31"/>
      <c r="F52" s="31"/>
      <c r="G52" s="31"/>
      <c r="H52" s="31"/>
      <c r="I52" s="31"/>
      <c r="J52" s="31"/>
      <c r="K52" s="31"/>
    </row>
    <row r="53" spans="1:11" ht="31" x14ac:dyDescent="0.2">
      <c r="A53" s="13" t="s">
        <v>32</v>
      </c>
      <c r="B53" s="13" t="s">
        <v>33</v>
      </c>
      <c r="C53" s="13" t="s">
        <v>34</v>
      </c>
      <c r="D53" s="13" t="s">
        <v>35</v>
      </c>
      <c r="E53" s="13" t="s">
        <v>36</v>
      </c>
      <c r="F53" s="13" t="s">
        <v>37</v>
      </c>
      <c r="G53" s="13" t="s">
        <v>38</v>
      </c>
      <c r="H53" s="13" t="s">
        <v>39</v>
      </c>
      <c r="I53" s="13" t="s">
        <v>40</v>
      </c>
      <c r="J53" s="13" t="s">
        <v>41</v>
      </c>
      <c r="K53" s="13" t="s">
        <v>42</v>
      </c>
    </row>
    <row r="54" spans="1:11" x14ac:dyDescent="0.2">
      <c r="A54" s="14">
        <v>0</v>
      </c>
      <c r="B54" s="14">
        <v>0</v>
      </c>
      <c r="C54" s="14"/>
      <c r="D54" s="14"/>
      <c r="E54" s="14"/>
      <c r="F54" s="14"/>
      <c r="G54" s="14"/>
      <c r="H54" s="14"/>
      <c r="I54" s="14"/>
      <c r="J54" s="14"/>
      <c r="K54" s="14"/>
    </row>
    <row r="55" spans="1:11" x14ac:dyDescent="0.2">
      <c r="A55" s="8">
        <v>1</v>
      </c>
      <c r="B55" s="15">
        <f t="shared" ref="B55:B84" si="20">A55*MES_HPB*WEEKS*POWER(1+MES_DIM,A55)</f>
        <v>45.5625</v>
      </c>
      <c r="C55" s="15">
        <f t="shared" ref="C55:C84" si="21">B55-B54</f>
        <v>45.5625</v>
      </c>
      <c r="D55" s="15">
        <f t="shared" ref="D55:D84" si="22">MAX(0,MIN(C55,PERM_HOURS-B54))</f>
        <v>45.5625</v>
      </c>
      <c r="E55" s="15">
        <f t="shared" ref="E55:E84" si="23">C55-D55</f>
        <v>0</v>
      </c>
      <c r="F55" s="16">
        <f t="shared" ref="F55:F84" si="24">D55*PERM_RATE+E55*TEMP_RATE</f>
        <v>1582.03125</v>
      </c>
      <c r="G55" s="17">
        <f t="shared" ref="G55:G84" si="25">MES_FERT</f>
        <v>880</v>
      </c>
      <c r="H55" s="16">
        <f t="shared" ref="H55:H84" si="26">F55+G55</f>
        <v>2462.03125</v>
      </c>
      <c r="I55" s="17">
        <f t="shared" ref="I55:I84" si="27">MES_PRICE</f>
        <v>2700</v>
      </c>
      <c r="J55" s="16">
        <f t="shared" ref="J55:J84" si="28">I55-H55</f>
        <v>237.96875</v>
      </c>
      <c r="K55" s="8" t="str">
        <f t="shared" ref="K55:K84" si="29">IF(J55&gt;=0,"Plant","Stop")</f>
        <v>Plant</v>
      </c>
    </row>
    <row r="56" spans="1:11" x14ac:dyDescent="0.2">
      <c r="A56" s="8">
        <v>2</v>
      </c>
      <c r="B56" s="15">
        <f t="shared" si="20"/>
        <v>92.264062499999994</v>
      </c>
      <c r="C56" s="15">
        <f t="shared" si="21"/>
        <v>46.701562499999994</v>
      </c>
      <c r="D56" s="15">
        <f t="shared" si="22"/>
        <v>46.701562499999994</v>
      </c>
      <c r="E56" s="15">
        <f t="shared" si="23"/>
        <v>0</v>
      </c>
      <c r="F56" s="16">
        <f t="shared" si="24"/>
        <v>1621.5820312499998</v>
      </c>
      <c r="G56" s="17">
        <f t="shared" si="25"/>
        <v>880</v>
      </c>
      <c r="H56" s="16">
        <f t="shared" si="26"/>
        <v>2501.58203125</v>
      </c>
      <c r="I56" s="17">
        <f t="shared" si="27"/>
        <v>2700</v>
      </c>
      <c r="J56" s="16">
        <f t="shared" si="28"/>
        <v>198.41796875</v>
      </c>
      <c r="K56" s="8" t="str">
        <f t="shared" si="29"/>
        <v>Plant</v>
      </c>
    </row>
    <row r="57" spans="1:11" x14ac:dyDescent="0.2">
      <c r="A57" s="8">
        <v>3</v>
      </c>
      <c r="B57" s="15">
        <f t="shared" si="20"/>
        <v>140.12604492187498</v>
      </c>
      <c r="C57" s="15">
        <f t="shared" si="21"/>
        <v>47.861982421874984</v>
      </c>
      <c r="D57" s="15">
        <f t="shared" si="22"/>
        <v>47.861982421874984</v>
      </c>
      <c r="E57" s="15">
        <f t="shared" si="23"/>
        <v>0</v>
      </c>
      <c r="F57" s="16">
        <f t="shared" si="24"/>
        <v>1661.8743896484368</v>
      </c>
      <c r="G57" s="17">
        <f t="shared" si="25"/>
        <v>880</v>
      </c>
      <c r="H57" s="16">
        <f t="shared" si="26"/>
        <v>2541.8743896484366</v>
      </c>
      <c r="I57" s="17">
        <f t="shared" si="27"/>
        <v>2700</v>
      </c>
      <c r="J57" s="16">
        <f t="shared" si="28"/>
        <v>158.12561035156341</v>
      </c>
      <c r="K57" s="8" t="str">
        <f t="shared" si="29"/>
        <v>Plant</v>
      </c>
    </row>
    <row r="58" spans="1:11" x14ac:dyDescent="0.2">
      <c r="A58" s="8">
        <v>4</v>
      </c>
      <c r="B58" s="15">
        <f t="shared" si="20"/>
        <v>189.17016064453125</v>
      </c>
      <c r="C58" s="15">
        <f t="shared" si="21"/>
        <v>49.044115722656272</v>
      </c>
      <c r="D58" s="15">
        <f t="shared" si="22"/>
        <v>49.044115722656272</v>
      </c>
      <c r="E58" s="15">
        <f t="shared" si="23"/>
        <v>0</v>
      </c>
      <c r="F58" s="16">
        <f t="shared" si="24"/>
        <v>1702.9206848144538</v>
      </c>
      <c r="G58" s="17">
        <f t="shared" si="25"/>
        <v>880</v>
      </c>
      <c r="H58" s="16">
        <f t="shared" si="26"/>
        <v>2582.920684814454</v>
      </c>
      <c r="I58" s="17">
        <f t="shared" si="27"/>
        <v>2700</v>
      </c>
      <c r="J58" s="16">
        <f t="shared" si="28"/>
        <v>117.07931518554597</v>
      </c>
      <c r="K58" s="8" t="str">
        <f t="shared" si="29"/>
        <v>Plant</v>
      </c>
    </row>
    <row r="59" spans="1:11" x14ac:dyDescent="0.2">
      <c r="A59" s="8">
        <v>5</v>
      </c>
      <c r="B59" s="15">
        <f t="shared" si="20"/>
        <v>239.41848456573481</v>
      </c>
      <c r="C59" s="15">
        <f t="shared" si="21"/>
        <v>50.248323921203564</v>
      </c>
      <c r="D59" s="15">
        <f t="shared" si="22"/>
        <v>50.248323921203564</v>
      </c>
      <c r="E59" s="15">
        <f t="shared" si="23"/>
        <v>0</v>
      </c>
      <c r="F59" s="16">
        <f t="shared" si="24"/>
        <v>1744.7334694862348</v>
      </c>
      <c r="G59" s="17">
        <f t="shared" si="25"/>
        <v>880</v>
      </c>
      <c r="H59" s="16">
        <f t="shared" si="26"/>
        <v>2624.7334694862348</v>
      </c>
      <c r="I59" s="17">
        <f t="shared" si="27"/>
        <v>2700</v>
      </c>
      <c r="J59" s="16">
        <f t="shared" si="28"/>
        <v>75.266530513765247</v>
      </c>
      <c r="K59" s="8" t="str">
        <f t="shared" si="29"/>
        <v>Plant</v>
      </c>
    </row>
    <row r="60" spans="1:11" x14ac:dyDescent="0.2">
      <c r="A60" s="8">
        <v>6</v>
      </c>
      <c r="B60" s="15">
        <f t="shared" si="20"/>
        <v>290.89345874736784</v>
      </c>
      <c r="C60" s="15">
        <f t="shared" si="21"/>
        <v>51.47497418163303</v>
      </c>
      <c r="D60" s="15">
        <f t="shared" si="22"/>
        <v>51.47497418163303</v>
      </c>
      <c r="E60" s="15">
        <f t="shared" si="23"/>
        <v>0</v>
      </c>
      <c r="F60" s="16">
        <f t="shared" si="24"/>
        <v>1787.3254924178134</v>
      </c>
      <c r="G60" s="17">
        <f t="shared" si="25"/>
        <v>880</v>
      </c>
      <c r="H60" s="16">
        <f t="shared" si="26"/>
        <v>2667.3254924178136</v>
      </c>
      <c r="I60" s="17">
        <f t="shared" si="27"/>
        <v>2700</v>
      </c>
      <c r="J60" s="16">
        <f t="shared" si="28"/>
        <v>32.674507582186379</v>
      </c>
      <c r="K60" s="8" t="str">
        <f t="shared" si="29"/>
        <v>Plant</v>
      </c>
    </row>
    <row r="61" spans="1:11" x14ac:dyDescent="0.2">
      <c r="A61" s="8">
        <v>7</v>
      </c>
      <c r="B61" s="15">
        <f t="shared" si="20"/>
        <v>343.61789814532818</v>
      </c>
      <c r="C61" s="15">
        <f t="shared" si="21"/>
        <v>52.724439397960339</v>
      </c>
      <c r="D61" s="15">
        <f t="shared" si="22"/>
        <v>52.724439397960339</v>
      </c>
      <c r="E61" s="15">
        <f t="shared" si="23"/>
        <v>0</v>
      </c>
      <c r="F61" s="16">
        <f t="shared" si="24"/>
        <v>1830.7097013180673</v>
      </c>
      <c r="G61" s="17">
        <f t="shared" si="25"/>
        <v>880</v>
      </c>
      <c r="H61" s="16">
        <f t="shared" si="26"/>
        <v>2710.7097013180673</v>
      </c>
      <c r="I61" s="17">
        <f t="shared" si="27"/>
        <v>2700</v>
      </c>
      <c r="J61" s="16">
        <f t="shared" si="28"/>
        <v>-10.709701318067346</v>
      </c>
      <c r="K61" s="8" t="str">
        <f t="shared" si="29"/>
        <v>Stop</v>
      </c>
    </row>
    <row r="62" spans="1:11" x14ac:dyDescent="0.2">
      <c r="A62" s="8">
        <v>8</v>
      </c>
      <c r="B62" s="15">
        <f t="shared" si="20"/>
        <v>397.61499642530839</v>
      </c>
      <c r="C62" s="15">
        <f t="shared" si="21"/>
        <v>53.997098279980207</v>
      </c>
      <c r="D62" s="15">
        <f t="shared" si="22"/>
        <v>53.997098279980207</v>
      </c>
      <c r="E62" s="15">
        <f t="shared" si="23"/>
        <v>0</v>
      </c>
      <c r="F62" s="16">
        <f t="shared" si="24"/>
        <v>1874.8992458326461</v>
      </c>
      <c r="G62" s="17">
        <f t="shared" si="25"/>
        <v>880</v>
      </c>
      <c r="H62" s="16">
        <f t="shared" si="26"/>
        <v>2754.8992458326461</v>
      </c>
      <c r="I62" s="17">
        <f t="shared" si="27"/>
        <v>2700</v>
      </c>
      <c r="J62" s="16">
        <f t="shared" si="28"/>
        <v>-54.899245832646102</v>
      </c>
      <c r="K62" s="8" t="str">
        <f t="shared" si="29"/>
        <v>Stop</v>
      </c>
    </row>
    <row r="63" spans="1:11" x14ac:dyDescent="0.2">
      <c r="A63" s="8">
        <v>9</v>
      </c>
      <c r="B63" s="15">
        <f t="shared" si="20"/>
        <v>452.90833186570285</v>
      </c>
      <c r="C63" s="15">
        <f t="shared" si="21"/>
        <v>55.293335440394458</v>
      </c>
      <c r="D63" s="15">
        <f t="shared" si="22"/>
        <v>55.293335440394458</v>
      </c>
      <c r="E63" s="15">
        <f t="shared" si="23"/>
        <v>0</v>
      </c>
      <c r="F63" s="16">
        <f t="shared" si="24"/>
        <v>1919.9074805692519</v>
      </c>
      <c r="G63" s="17">
        <f t="shared" si="25"/>
        <v>880</v>
      </c>
      <c r="H63" s="16">
        <f t="shared" si="26"/>
        <v>2799.9074805692517</v>
      </c>
      <c r="I63" s="17">
        <f t="shared" si="27"/>
        <v>2700</v>
      </c>
      <c r="J63" s="16">
        <f t="shared" si="28"/>
        <v>-99.907480569251675</v>
      </c>
      <c r="K63" s="8" t="str">
        <f t="shared" si="29"/>
        <v>Stop</v>
      </c>
    </row>
    <row r="64" spans="1:11" x14ac:dyDescent="0.2">
      <c r="A64" s="8">
        <v>10</v>
      </c>
      <c r="B64" s="15">
        <f t="shared" si="20"/>
        <v>509.52187334891573</v>
      </c>
      <c r="C64" s="15">
        <f t="shared" si="21"/>
        <v>56.613541483212884</v>
      </c>
      <c r="D64" s="15">
        <f t="shared" si="22"/>
        <v>56.613541483212884</v>
      </c>
      <c r="E64" s="15">
        <f t="shared" si="23"/>
        <v>0</v>
      </c>
      <c r="F64" s="16">
        <f t="shared" si="24"/>
        <v>1965.7479681671141</v>
      </c>
      <c r="G64" s="17">
        <f t="shared" si="25"/>
        <v>880</v>
      </c>
      <c r="H64" s="16">
        <f t="shared" si="26"/>
        <v>2845.7479681671139</v>
      </c>
      <c r="I64" s="17">
        <f t="shared" si="27"/>
        <v>2700</v>
      </c>
      <c r="J64" s="16">
        <f t="shared" si="28"/>
        <v>-145.74796816711387</v>
      </c>
      <c r="K64" s="8" t="str">
        <f t="shared" si="29"/>
        <v>Stop</v>
      </c>
    </row>
    <row r="65" spans="1:11" x14ac:dyDescent="0.2">
      <c r="A65" s="8">
        <v>11</v>
      </c>
      <c r="B65" s="15">
        <f t="shared" si="20"/>
        <v>567.47998644235474</v>
      </c>
      <c r="C65" s="15">
        <f t="shared" si="21"/>
        <v>57.95811309343901</v>
      </c>
      <c r="D65" s="15">
        <f t="shared" si="22"/>
        <v>57.95811309343901</v>
      </c>
      <c r="E65" s="15">
        <f t="shared" si="23"/>
        <v>0</v>
      </c>
      <c r="F65" s="16">
        <f t="shared" si="24"/>
        <v>2012.4344824110767</v>
      </c>
      <c r="G65" s="17">
        <f t="shared" si="25"/>
        <v>880</v>
      </c>
      <c r="H65" s="16">
        <f t="shared" si="26"/>
        <v>2892.4344824110767</v>
      </c>
      <c r="I65" s="17">
        <f t="shared" si="27"/>
        <v>2700</v>
      </c>
      <c r="J65" s="16">
        <f t="shared" si="28"/>
        <v>-192.43448241107671</v>
      </c>
      <c r="K65" s="8" t="str">
        <f t="shared" si="29"/>
        <v>Stop</v>
      </c>
    </row>
    <row r="66" spans="1:11" x14ac:dyDescent="0.2">
      <c r="A66" s="8">
        <v>12</v>
      </c>
      <c r="B66" s="15">
        <f t="shared" si="20"/>
        <v>626.80743957041921</v>
      </c>
      <c r="C66" s="15">
        <f t="shared" si="21"/>
        <v>59.327453128064462</v>
      </c>
      <c r="D66" s="15">
        <f t="shared" si="22"/>
        <v>59.327453128064462</v>
      </c>
      <c r="E66" s="15">
        <f t="shared" si="23"/>
        <v>0</v>
      </c>
      <c r="F66" s="16">
        <f t="shared" si="24"/>
        <v>2059.9810113911271</v>
      </c>
      <c r="G66" s="17">
        <f t="shared" si="25"/>
        <v>880</v>
      </c>
      <c r="H66" s="16">
        <f t="shared" si="26"/>
        <v>2939.9810113911271</v>
      </c>
      <c r="I66" s="17">
        <f t="shared" si="27"/>
        <v>2700</v>
      </c>
      <c r="J66" s="16">
        <f t="shared" si="28"/>
        <v>-239.98101139112714</v>
      </c>
      <c r="K66" s="8" t="str">
        <f t="shared" si="29"/>
        <v>Stop</v>
      </c>
    </row>
    <row r="67" spans="1:11" x14ac:dyDescent="0.2">
      <c r="A67" s="8">
        <v>13</v>
      </c>
      <c r="B67" s="15">
        <f t="shared" si="20"/>
        <v>687.52941027880343</v>
      </c>
      <c r="C67" s="15">
        <f t="shared" si="21"/>
        <v>60.72197070838422</v>
      </c>
      <c r="D67" s="15">
        <f t="shared" si="22"/>
        <v>60.72197070838422</v>
      </c>
      <c r="E67" s="15">
        <f t="shared" si="23"/>
        <v>0</v>
      </c>
      <c r="F67" s="16">
        <f t="shared" si="24"/>
        <v>2108.4017607077853</v>
      </c>
      <c r="G67" s="17">
        <f t="shared" si="25"/>
        <v>880</v>
      </c>
      <c r="H67" s="16">
        <f t="shared" si="26"/>
        <v>2988.4017607077853</v>
      </c>
      <c r="I67" s="17">
        <f t="shared" si="27"/>
        <v>2700</v>
      </c>
      <c r="J67" s="16">
        <f t="shared" si="28"/>
        <v>-288.40176070778534</v>
      </c>
      <c r="K67" s="8" t="str">
        <f t="shared" si="29"/>
        <v>Stop</v>
      </c>
    </row>
    <row r="68" spans="1:11" x14ac:dyDescent="0.2">
      <c r="A68" s="8">
        <v>14</v>
      </c>
      <c r="B68" s="15">
        <f t="shared" si="20"/>
        <v>749.67149159246469</v>
      </c>
      <c r="C68" s="15">
        <f t="shared" si="21"/>
        <v>62.142081313661265</v>
      </c>
      <c r="D68" s="15">
        <f t="shared" si="22"/>
        <v>32.470589721196575</v>
      </c>
      <c r="E68" s="15">
        <f t="shared" si="23"/>
        <v>29.67149159246469</v>
      </c>
      <c r="F68" s="16">
        <f t="shared" si="24"/>
        <v>1642.5810943551708</v>
      </c>
      <c r="G68" s="17">
        <f t="shared" si="25"/>
        <v>880</v>
      </c>
      <c r="H68" s="16">
        <f t="shared" si="26"/>
        <v>2522.5810943551705</v>
      </c>
      <c r="I68" s="17">
        <f t="shared" si="27"/>
        <v>2700</v>
      </c>
      <c r="J68" s="16">
        <f t="shared" si="28"/>
        <v>177.41890564482947</v>
      </c>
      <c r="K68" s="8" t="str">
        <f t="shared" si="29"/>
        <v>Plant</v>
      </c>
    </row>
    <row r="69" spans="1:11" x14ac:dyDescent="0.2">
      <c r="A69" s="8">
        <v>15</v>
      </c>
      <c r="B69" s="15">
        <f t="shared" si="20"/>
        <v>813.25969846861108</v>
      </c>
      <c r="C69" s="15">
        <f t="shared" si="21"/>
        <v>63.588206876146387</v>
      </c>
      <c r="D69" s="15">
        <f t="shared" si="22"/>
        <v>0</v>
      </c>
      <c r="E69" s="15">
        <f t="shared" si="23"/>
        <v>63.588206876146387</v>
      </c>
      <c r="F69" s="16">
        <f t="shared" si="24"/>
        <v>1103.961924933097</v>
      </c>
      <c r="G69" s="17">
        <f t="shared" si="25"/>
        <v>880</v>
      </c>
      <c r="H69" s="16">
        <f t="shared" si="26"/>
        <v>1983.961924933097</v>
      </c>
      <c r="I69" s="17">
        <f t="shared" si="27"/>
        <v>2700</v>
      </c>
      <c r="J69" s="16">
        <f t="shared" si="28"/>
        <v>716.03807506690305</v>
      </c>
      <c r="K69" s="8" t="str">
        <f t="shared" si="29"/>
        <v>Plant</v>
      </c>
    </row>
    <row r="70" spans="1:11" x14ac:dyDescent="0.2">
      <c r="A70" s="8">
        <v>16</v>
      </c>
      <c r="B70" s="15">
        <f t="shared" si="20"/>
        <v>878.32047434610013</v>
      </c>
      <c r="C70" s="15">
        <f t="shared" si="21"/>
        <v>65.06077587748905</v>
      </c>
      <c r="D70" s="15">
        <f t="shared" si="22"/>
        <v>0</v>
      </c>
      <c r="E70" s="15">
        <f t="shared" si="23"/>
        <v>65.06077587748905</v>
      </c>
      <c r="F70" s="16">
        <f t="shared" si="24"/>
        <v>1129.527358984185</v>
      </c>
      <c r="G70" s="17">
        <f t="shared" si="25"/>
        <v>880</v>
      </c>
      <c r="H70" s="16">
        <f t="shared" si="26"/>
        <v>2009.527358984185</v>
      </c>
      <c r="I70" s="17">
        <f t="shared" si="27"/>
        <v>2700</v>
      </c>
      <c r="J70" s="16">
        <f t="shared" si="28"/>
        <v>690.47264101581504</v>
      </c>
      <c r="K70" s="8" t="str">
        <f t="shared" si="29"/>
        <v>Plant</v>
      </c>
    </row>
    <row r="71" spans="1:11" x14ac:dyDescent="0.2">
      <c r="A71" s="8">
        <v>17</v>
      </c>
      <c r="B71" s="15">
        <f t="shared" si="20"/>
        <v>944.88069779264049</v>
      </c>
      <c r="C71" s="15">
        <f t="shared" si="21"/>
        <v>66.560223446540363</v>
      </c>
      <c r="D71" s="15">
        <f t="shared" si="22"/>
        <v>0</v>
      </c>
      <c r="E71" s="15">
        <f t="shared" si="23"/>
        <v>66.560223446540363</v>
      </c>
      <c r="F71" s="16">
        <f t="shared" si="24"/>
        <v>1155.5594348357702</v>
      </c>
      <c r="G71" s="17">
        <f t="shared" si="25"/>
        <v>880</v>
      </c>
      <c r="H71" s="16">
        <f t="shared" si="26"/>
        <v>2035.5594348357702</v>
      </c>
      <c r="I71" s="17">
        <f t="shared" si="27"/>
        <v>2700</v>
      </c>
      <c r="J71" s="16">
        <f t="shared" si="28"/>
        <v>664.44056516422984</v>
      </c>
      <c r="K71" s="8" t="str">
        <f t="shared" si="29"/>
        <v>Plant</v>
      </c>
    </row>
    <row r="72" spans="1:11" x14ac:dyDescent="0.2">
      <c r="A72" s="8">
        <v>18</v>
      </c>
      <c r="B72" s="15">
        <f t="shared" si="20"/>
        <v>1012.9676892512279</v>
      </c>
      <c r="C72" s="15">
        <f t="shared" si="21"/>
        <v>68.086991458587363</v>
      </c>
      <c r="D72" s="15">
        <f t="shared" si="22"/>
        <v>0</v>
      </c>
      <c r="E72" s="15">
        <f t="shared" si="23"/>
        <v>68.086991458587363</v>
      </c>
      <c r="F72" s="16">
        <f t="shared" si="24"/>
        <v>1182.0658239338084</v>
      </c>
      <c r="G72" s="17">
        <f t="shared" si="25"/>
        <v>880</v>
      </c>
      <c r="H72" s="16">
        <f t="shared" si="26"/>
        <v>2062.0658239338081</v>
      </c>
      <c r="I72" s="17">
        <f t="shared" si="27"/>
        <v>2700</v>
      </c>
      <c r="J72" s="16">
        <f t="shared" si="28"/>
        <v>637.93417606619187</v>
      </c>
      <c r="K72" s="8" t="str">
        <f t="shared" si="29"/>
        <v>Plant</v>
      </c>
    </row>
    <row r="73" spans="1:11" x14ac:dyDescent="0.2">
      <c r="A73" s="8">
        <v>19</v>
      </c>
      <c r="B73" s="15">
        <f t="shared" si="20"/>
        <v>1082.6092178872495</v>
      </c>
      <c r="C73" s="15">
        <f t="shared" si="21"/>
        <v>69.64152863602169</v>
      </c>
      <c r="D73" s="15">
        <f t="shared" si="22"/>
        <v>0</v>
      </c>
      <c r="E73" s="15">
        <f t="shared" si="23"/>
        <v>69.64152863602169</v>
      </c>
      <c r="F73" s="16">
        <f t="shared" si="24"/>
        <v>1209.0543165975987</v>
      </c>
      <c r="G73" s="17">
        <f t="shared" si="25"/>
        <v>880</v>
      </c>
      <c r="H73" s="16">
        <f t="shared" si="26"/>
        <v>2089.0543165975987</v>
      </c>
      <c r="I73" s="17">
        <f t="shared" si="27"/>
        <v>2700</v>
      </c>
      <c r="J73" s="16">
        <f t="shared" si="28"/>
        <v>610.9456834024013</v>
      </c>
      <c r="K73" s="8" t="str">
        <f t="shared" si="29"/>
        <v>Plant</v>
      </c>
    </row>
    <row r="74" spans="1:11" x14ac:dyDescent="0.2">
      <c r="A74" s="8">
        <v>20</v>
      </c>
      <c r="B74" s="15">
        <f t="shared" si="20"/>
        <v>1153.8335085377266</v>
      </c>
      <c r="C74" s="15">
        <f t="shared" si="21"/>
        <v>71.224290650477087</v>
      </c>
      <c r="D74" s="15">
        <f t="shared" si="22"/>
        <v>0</v>
      </c>
      <c r="E74" s="15">
        <f t="shared" si="23"/>
        <v>71.224290650477087</v>
      </c>
      <c r="F74" s="16">
        <f t="shared" si="24"/>
        <v>1236.532823793005</v>
      </c>
      <c r="G74" s="17">
        <f t="shared" si="25"/>
        <v>880</v>
      </c>
      <c r="H74" s="16">
        <f t="shared" si="26"/>
        <v>2116.5328237930053</v>
      </c>
      <c r="I74" s="17">
        <f t="shared" si="27"/>
        <v>2700</v>
      </c>
      <c r="J74" s="16">
        <f t="shared" si="28"/>
        <v>583.46717620699474</v>
      </c>
      <c r="K74" s="8" t="str">
        <f t="shared" si="29"/>
        <v>Plant</v>
      </c>
    </row>
    <row r="75" spans="1:11" x14ac:dyDescent="0.2">
      <c r="A75" s="8">
        <v>21</v>
      </c>
      <c r="B75" s="15">
        <f t="shared" si="20"/>
        <v>1226.6692487641703</v>
      </c>
      <c r="C75" s="15">
        <f t="shared" si="21"/>
        <v>72.835740226443704</v>
      </c>
      <c r="D75" s="15">
        <f t="shared" si="22"/>
        <v>0</v>
      </c>
      <c r="E75" s="15">
        <f t="shared" si="23"/>
        <v>72.835740226443704</v>
      </c>
      <c r="F75" s="16">
        <f t="shared" si="24"/>
        <v>1264.5093789313144</v>
      </c>
      <c r="G75" s="17">
        <f t="shared" si="25"/>
        <v>880</v>
      </c>
      <c r="H75" s="16">
        <f t="shared" si="26"/>
        <v>2144.5093789313141</v>
      </c>
      <c r="I75" s="17">
        <f t="shared" si="27"/>
        <v>2700</v>
      </c>
      <c r="J75" s="16">
        <f t="shared" si="28"/>
        <v>555.49062106868587</v>
      </c>
      <c r="K75" s="8" t="str">
        <f t="shared" si="29"/>
        <v>Plant</v>
      </c>
    </row>
    <row r="76" spans="1:11" x14ac:dyDescent="0.2">
      <c r="A76" s="8">
        <v>22</v>
      </c>
      <c r="B76" s="15">
        <f t="shared" si="20"/>
        <v>1301.1455960105666</v>
      </c>
      <c r="C76" s="15">
        <f t="shared" si="21"/>
        <v>74.476347246396244</v>
      </c>
      <c r="D76" s="15">
        <f t="shared" si="22"/>
        <v>0</v>
      </c>
      <c r="E76" s="15">
        <f t="shared" si="23"/>
        <v>74.476347246396244</v>
      </c>
      <c r="F76" s="16">
        <f t="shared" si="24"/>
        <v>1292.9921396943791</v>
      </c>
      <c r="G76" s="17">
        <f t="shared" si="25"/>
        <v>880</v>
      </c>
      <c r="H76" s="16">
        <f t="shared" si="26"/>
        <v>2172.9921396943791</v>
      </c>
      <c r="I76" s="17">
        <f t="shared" si="27"/>
        <v>2700</v>
      </c>
      <c r="J76" s="16">
        <f t="shared" si="28"/>
        <v>527.00786030562085</v>
      </c>
      <c r="K76" s="8" t="str">
        <f t="shared" si="29"/>
        <v>Plant</v>
      </c>
    </row>
    <row r="77" spans="1:11" x14ac:dyDescent="0.2">
      <c r="A77" s="8">
        <v>23</v>
      </c>
      <c r="B77" s="15">
        <f t="shared" si="20"/>
        <v>1377.292184868003</v>
      </c>
      <c r="C77" s="15">
        <f t="shared" si="21"/>
        <v>76.146588857436427</v>
      </c>
      <c r="D77" s="15">
        <f t="shared" si="22"/>
        <v>0</v>
      </c>
      <c r="E77" s="15">
        <f t="shared" si="23"/>
        <v>76.146588857436427</v>
      </c>
      <c r="F77" s="16">
        <f t="shared" si="24"/>
        <v>1321.9893898860491</v>
      </c>
      <c r="G77" s="17">
        <f t="shared" si="25"/>
        <v>880</v>
      </c>
      <c r="H77" s="16">
        <f t="shared" si="26"/>
        <v>2201.9893898860491</v>
      </c>
      <c r="I77" s="17">
        <f t="shared" si="27"/>
        <v>2700</v>
      </c>
      <c r="J77" s="16">
        <f t="shared" si="28"/>
        <v>498.01061011395086</v>
      </c>
      <c r="K77" s="8" t="str">
        <f t="shared" si="29"/>
        <v>Plant</v>
      </c>
    </row>
    <row r="78" spans="1:11" x14ac:dyDescent="0.2">
      <c r="A78" s="8">
        <v>24</v>
      </c>
      <c r="B78" s="15">
        <f t="shared" si="20"/>
        <v>1455.1391344474989</v>
      </c>
      <c r="C78" s="15">
        <f t="shared" si="21"/>
        <v>77.846949579495913</v>
      </c>
      <c r="D78" s="15">
        <f t="shared" si="22"/>
        <v>0</v>
      </c>
      <c r="E78" s="15">
        <f t="shared" si="23"/>
        <v>77.846949579495913</v>
      </c>
      <c r="F78" s="16">
        <f t="shared" si="24"/>
        <v>1351.5095413106928</v>
      </c>
      <c r="G78" s="17">
        <f t="shared" si="25"/>
        <v>880</v>
      </c>
      <c r="H78" s="16">
        <f t="shared" si="26"/>
        <v>2231.5095413106928</v>
      </c>
      <c r="I78" s="17">
        <f t="shared" si="27"/>
        <v>2700</v>
      </c>
      <c r="J78" s="16">
        <f t="shared" si="28"/>
        <v>468.49045868930716</v>
      </c>
      <c r="K78" s="8" t="str">
        <f t="shared" si="29"/>
        <v>Plant</v>
      </c>
    </row>
    <row r="79" spans="1:11" x14ac:dyDescent="0.2">
      <c r="A79" s="8">
        <v>25</v>
      </c>
      <c r="B79" s="15">
        <f t="shared" si="20"/>
        <v>1534.7170558625965</v>
      </c>
      <c r="C79" s="15">
        <f t="shared" si="21"/>
        <v>79.577921415097535</v>
      </c>
      <c r="D79" s="15">
        <f t="shared" si="22"/>
        <v>0</v>
      </c>
      <c r="E79" s="15">
        <f t="shared" si="23"/>
        <v>79.577921415097535</v>
      </c>
      <c r="F79" s="16">
        <f t="shared" si="24"/>
        <v>1381.5611356787765</v>
      </c>
      <c r="G79" s="17">
        <f t="shared" si="25"/>
        <v>880</v>
      </c>
      <c r="H79" s="16">
        <f t="shared" si="26"/>
        <v>2261.5611356787767</v>
      </c>
      <c r="I79" s="17">
        <f t="shared" si="27"/>
        <v>2700</v>
      </c>
      <c r="J79" s="16">
        <f t="shared" si="28"/>
        <v>438.43886432122326</v>
      </c>
      <c r="K79" s="8" t="str">
        <f t="shared" si="29"/>
        <v>Plant</v>
      </c>
    </row>
    <row r="80" spans="1:11" x14ac:dyDescent="0.2">
      <c r="A80" s="8">
        <v>26</v>
      </c>
      <c r="B80" s="15">
        <f t="shared" si="20"/>
        <v>1616.0570598233144</v>
      </c>
      <c r="C80" s="15">
        <f t="shared" si="21"/>
        <v>81.340003960717922</v>
      </c>
      <c r="D80" s="15">
        <f t="shared" si="22"/>
        <v>0</v>
      </c>
      <c r="E80" s="15">
        <f t="shared" si="23"/>
        <v>81.340003960717922</v>
      </c>
      <c r="F80" s="16">
        <f t="shared" si="24"/>
        <v>1412.1528465402416</v>
      </c>
      <c r="G80" s="17">
        <f t="shared" si="25"/>
        <v>880</v>
      </c>
      <c r="H80" s="16">
        <f t="shared" si="26"/>
        <v>2292.1528465402416</v>
      </c>
      <c r="I80" s="17">
        <f t="shared" si="27"/>
        <v>2700</v>
      </c>
      <c r="J80" s="16">
        <f t="shared" si="28"/>
        <v>407.84715345975837</v>
      </c>
      <c r="K80" s="8" t="str">
        <f t="shared" si="29"/>
        <v>Plant</v>
      </c>
    </row>
    <row r="81" spans="1:11" x14ac:dyDescent="0.2">
      <c r="A81" s="8">
        <v>27</v>
      </c>
      <c r="B81" s="15">
        <f t="shared" si="20"/>
        <v>1699.1907643430709</v>
      </c>
      <c r="C81" s="15">
        <f t="shared" si="21"/>
        <v>83.13370451975652</v>
      </c>
      <c r="D81" s="15">
        <f t="shared" si="22"/>
        <v>0</v>
      </c>
      <c r="E81" s="15">
        <f t="shared" si="23"/>
        <v>83.13370451975652</v>
      </c>
      <c r="F81" s="16">
        <f t="shared" si="24"/>
        <v>1443.2934812457729</v>
      </c>
      <c r="G81" s="17">
        <f t="shared" si="25"/>
        <v>880</v>
      </c>
      <c r="H81" s="16">
        <f t="shared" si="26"/>
        <v>2323.2934812457729</v>
      </c>
      <c r="I81" s="17">
        <f t="shared" si="27"/>
        <v>2700</v>
      </c>
      <c r="J81" s="16">
        <f t="shared" si="28"/>
        <v>376.70651875422709</v>
      </c>
      <c r="K81" s="8" t="str">
        <f t="shared" si="29"/>
        <v>Plant</v>
      </c>
    </row>
    <row r="82" spans="1:11" x14ac:dyDescent="0.2">
      <c r="A82" s="8">
        <v>28</v>
      </c>
      <c r="B82" s="15">
        <f t="shared" si="20"/>
        <v>1784.1503025602246</v>
      </c>
      <c r="C82" s="15">
        <f t="shared" si="21"/>
        <v>84.959538217153749</v>
      </c>
      <c r="D82" s="15">
        <f t="shared" si="22"/>
        <v>0</v>
      </c>
      <c r="E82" s="15">
        <f t="shared" si="23"/>
        <v>84.959538217153749</v>
      </c>
      <c r="F82" s="16">
        <f t="shared" si="24"/>
        <v>1474.991982936697</v>
      </c>
      <c r="G82" s="17">
        <f t="shared" si="25"/>
        <v>880</v>
      </c>
      <c r="H82" s="16">
        <f t="shared" si="26"/>
        <v>2354.9919829366972</v>
      </c>
      <c r="I82" s="17">
        <f t="shared" si="27"/>
        <v>2700</v>
      </c>
      <c r="J82" s="16">
        <f t="shared" si="28"/>
        <v>345.00801706330276</v>
      </c>
      <c r="K82" s="8" t="str">
        <f t="shared" si="29"/>
        <v>Plant</v>
      </c>
    </row>
    <row r="83" spans="1:11" x14ac:dyDescent="0.2">
      <c r="A83" s="8">
        <v>29</v>
      </c>
      <c r="B83" s="15">
        <f t="shared" si="20"/>
        <v>1870.9683306758782</v>
      </c>
      <c r="C83" s="15">
        <f t="shared" si="21"/>
        <v>86.818028115653533</v>
      </c>
      <c r="D83" s="15">
        <f t="shared" si="22"/>
        <v>0</v>
      </c>
      <c r="E83" s="15">
        <f t="shared" si="23"/>
        <v>86.818028115653533</v>
      </c>
      <c r="F83" s="16">
        <f t="shared" si="24"/>
        <v>1507.2574325634293</v>
      </c>
      <c r="G83" s="17">
        <f t="shared" si="25"/>
        <v>880</v>
      </c>
      <c r="H83" s="16">
        <f t="shared" si="26"/>
        <v>2387.2574325634296</v>
      </c>
      <c r="I83" s="17">
        <f t="shared" si="27"/>
        <v>2700</v>
      </c>
      <c r="J83" s="16">
        <f t="shared" si="28"/>
        <v>312.74256743657043</v>
      </c>
      <c r="K83" s="8" t="str">
        <f t="shared" si="29"/>
        <v>Plant</v>
      </c>
    </row>
    <row r="84" spans="1:11" x14ac:dyDescent="0.2">
      <c r="A84" s="8">
        <v>30</v>
      </c>
      <c r="B84" s="15">
        <f t="shared" si="20"/>
        <v>1959.6780360096488</v>
      </c>
      <c r="C84" s="15">
        <f t="shared" si="21"/>
        <v>88.709705333770671</v>
      </c>
      <c r="D84" s="15">
        <f t="shared" si="22"/>
        <v>0</v>
      </c>
      <c r="E84" s="15">
        <f t="shared" si="23"/>
        <v>88.709705333770671</v>
      </c>
      <c r="F84" s="16">
        <f t="shared" si="24"/>
        <v>1540.0990509335186</v>
      </c>
      <c r="G84" s="17">
        <f t="shared" si="25"/>
        <v>880</v>
      </c>
      <c r="H84" s="16">
        <f t="shared" si="26"/>
        <v>2420.0990509335188</v>
      </c>
      <c r="I84" s="17">
        <f t="shared" si="27"/>
        <v>2700</v>
      </c>
      <c r="J84" s="16">
        <f t="shared" si="28"/>
        <v>279.90094906648119</v>
      </c>
      <c r="K84" s="8" t="str">
        <f t="shared" si="29"/>
        <v>Plant</v>
      </c>
    </row>
    <row r="86" spans="1:11" x14ac:dyDescent="0.2">
      <c r="A86" s="30" t="s">
        <v>45</v>
      </c>
      <c r="B86" s="30"/>
      <c r="C86" s="30"/>
      <c r="D86" s="30"/>
      <c r="E86" s="30"/>
      <c r="F86" s="30"/>
      <c r="G86" s="30"/>
      <c r="H86" s="30"/>
      <c r="I86" s="30"/>
      <c r="J86" s="30"/>
      <c r="K86" s="30"/>
    </row>
  </sheetData>
  <mergeCells count="5">
    <mergeCell ref="A2:K2"/>
    <mergeCell ref="A4:K4"/>
    <mergeCell ref="A28:K28"/>
    <mergeCell ref="A52:K52"/>
    <mergeCell ref="A86:K86"/>
  </mergeCells>
  <conditionalFormatting sqref="A7:K26">
    <cfRule type="expression" dxfId="7" priority="2">
      <formula>$K7="Stop"</formula>
    </cfRule>
    <cfRule type="expression" dxfId="6" priority="3">
      <formula>$K7="Plant"</formula>
    </cfRule>
  </conditionalFormatting>
  <conditionalFormatting sqref="A31:K50">
    <cfRule type="expression" dxfId="5" priority="4">
      <formula>$K31="Stop"</formula>
    </cfRule>
    <cfRule type="expression" dxfId="4" priority="5">
      <formula>$K31="Plant"</formula>
    </cfRule>
  </conditionalFormatting>
  <conditionalFormatting sqref="A55:K84">
    <cfRule type="expression" dxfId="3" priority="6">
      <formula>$K55="Stop"</formula>
    </cfRule>
    <cfRule type="expression" dxfId="2" priority="7">
      <formula>$K55="Plant"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2"/>
  <sheetViews>
    <sheetView zoomScaleNormal="100" workbookViewId="0">
      <selection activeCell="C5" sqref="C5"/>
    </sheetView>
  </sheetViews>
  <sheetFormatPr baseColWidth="10" defaultColWidth="8.6640625" defaultRowHeight="15" x14ac:dyDescent="0.2"/>
  <cols>
    <col min="1" max="1" width="22.5" customWidth="1"/>
    <col min="2" max="2" width="14" customWidth="1"/>
    <col min="3" max="3" width="18" customWidth="1"/>
    <col min="4" max="4" width="12" customWidth="1"/>
    <col min="5" max="6" width="16" customWidth="1"/>
  </cols>
  <sheetData>
    <row r="1" spans="1:6" ht="18" x14ac:dyDescent="0.2">
      <c r="A1" s="2" t="s">
        <v>46</v>
      </c>
    </row>
    <row r="2" spans="1:6" x14ac:dyDescent="0.2">
      <c r="A2" s="30" t="s">
        <v>47</v>
      </c>
      <c r="B2" s="30"/>
      <c r="C2" s="30"/>
      <c r="D2" s="30"/>
      <c r="E2" s="30"/>
      <c r="F2" s="30"/>
    </row>
    <row r="4" spans="1:6" x14ac:dyDescent="0.2">
      <c r="A4" s="7" t="s">
        <v>19</v>
      </c>
      <c r="B4" s="7" t="s">
        <v>48</v>
      </c>
      <c r="C4" s="7" t="s">
        <v>33</v>
      </c>
      <c r="D4" s="7" t="s">
        <v>23</v>
      </c>
      <c r="E4" s="7" t="s">
        <v>49</v>
      </c>
      <c r="F4" s="7" t="s">
        <v>50</v>
      </c>
    </row>
    <row r="5" spans="1:6" x14ac:dyDescent="0.2">
      <c r="A5" s="14" t="s">
        <v>25</v>
      </c>
      <c r="B5" s="18">
        <v>10</v>
      </c>
      <c r="C5" s="19">
        <f>B5*TOM_HPB*WEEKS*POWER(1+TOM_DIM,B5)</f>
        <v>2334.3682140900019</v>
      </c>
      <c r="D5" s="20">
        <f>TOM_PRICE</f>
        <v>8800</v>
      </c>
      <c r="E5" s="20">
        <f>B5*D5</f>
        <v>88000</v>
      </c>
      <c r="F5" s="20">
        <f>B5*TOM_FERT</f>
        <v>8800</v>
      </c>
    </row>
    <row r="6" spans="1:6" x14ac:dyDescent="0.2">
      <c r="A6" s="14" t="s">
        <v>26</v>
      </c>
      <c r="B6" s="18">
        <v>20</v>
      </c>
      <c r="C6" s="19">
        <f>B6*CAR_HPB*WEEKS*POWER(1+CAR_DIM,B6)</f>
        <v>983.16986417423732</v>
      </c>
      <c r="D6" s="20">
        <f>CAR_PRICE</f>
        <v>2094</v>
      </c>
      <c r="E6" s="20">
        <f>B6*D6</f>
        <v>41880</v>
      </c>
      <c r="F6" s="20">
        <f>B6*CAR_FERT</f>
        <v>8800</v>
      </c>
    </row>
    <row r="7" spans="1:6" x14ac:dyDescent="0.2">
      <c r="A7" s="14" t="s">
        <v>27</v>
      </c>
      <c r="B7" s="18">
        <v>30</v>
      </c>
      <c r="C7" s="19">
        <f>B7*MES_HPB*WEEKS*POWER(1+MES_DIM,B7)</f>
        <v>1959.6780360096488</v>
      </c>
      <c r="D7" s="20">
        <f>MES_PRICE</f>
        <v>2700</v>
      </c>
      <c r="E7" s="20">
        <f>B7*D7</f>
        <v>81000</v>
      </c>
      <c r="F7" s="20">
        <f>B7*MES_FERT</f>
        <v>26400</v>
      </c>
    </row>
    <row r="8" spans="1:6" x14ac:dyDescent="0.2">
      <c r="A8" s="21" t="s">
        <v>51</v>
      </c>
      <c r="B8" s="22">
        <f>SUM(B5:B7)</f>
        <v>60</v>
      </c>
      <c r="C8" s="23">
        <f>SUM(C5:C7)</f>
        <v>5277.2161142738878</v>
      </c>
      <c r="D8" s="21"/>
      <c r="E8" s="24">
        <f>SUM(E5:E7)</f>
        <v>210880</v>
      </c>
      <c r="F8" s="24">
        <f>SUM(F5:F7)</f>
        <v>44000</v>
      </c>
    </row>
    <row r="10" spans="1:6" x14ac:dyDescent="0.2">
      <c r="A10" s="3" t="s">
        <v>52</v>
      </c>
      <c r="B10" s="25">
        <f>MIN(PERM_HOURS,C8)</f>
        <v>720</v>
      </c>
    </row>
    <row r="11" spans="1:6" x14ac:dyDescent="0.2">
      <c r="A11" s="3" t="s">
        <v>53</v>
      </c>
      <c r="B11" s="25">
        <f>MAX(0,C8-PERM_HOURS)</f>
        <v>4557.2161142738878</v>
      </c>
    </row>
    <row r="12" spans="1:6" x14ac:dyDescent="0.2">
      <c r="A12" s="3" t="s">
        <v>54</v>
      </c>
      <c r="B12" s="26">
        <f>ROUNDUP(B11/TEMP_WORKER_HRS,0)</f>
        <v>4</v>
      </c>
    </row>
    <row r="13" spans="1:6" x14ac:dyDescent="0.2">
      <c r="A13" s="3" t="s">
        <v>55</v>
      </c>
      <c r="B13" s="27">
        <f>B10*PERM_RATE+B11*TEMP_RATE</f>
        <v>104118.335317255</v>
      </c>
    </row>
    <row r="14" spans="1:6" x14ac:dyDescent="0.2">
      <c r="A14" s="3" t="s">
        <v>56</v>
      </c>
      <c r="B14" s="27">
        <f>F8</f>
        <v>44000</v>
      </c>
    </row>
    <row r="15" spans="1:6" x14ac:dyDescent="0.2">
      <c r="A15" s="3" t="s">
        <v>57</v>
      </c>
      <c r="B15" s="27">
        <f>FIXED_COST</f>
        <v>20000</v>
      </c>
    </row>
    <row r="16" spans="1:6" x14ac:dyDescent="0.2">
      <c r="A16" s="3" t="s">
        <v>58</v>
      </c>
      <c r="B16" s="27">
        <f>B13+B14+B15</f>
        <v>168118.335317255</v>
      </c>
    </row>
    <row r="17" spans="1:5" x14ac:dyDescent="0.2">
      <c r="A17" s="3" t="s">
        <v>59</v>
      </c>
      <c r="B17" s="27">
        <f>E8</f>
        <v>210880</v>
      </c>
    </row>
    <row r="18" spans="1:5" x14ac:dyDescent="0.2">
      <c r="A18" s="28" t="s">
        <v>60</v>
      </c>
      <c r="B18" s="29">
        <f>B17-B16</f>
        <v>42761.664682745002</v>
      </c>
    </row>
    <row r="20" spans="1:5" ht="16" x14ac:dyDescent="0.2">
      <c r="A20" s="31" t="s">
        <v>61</v>
      </c>
      <c r="B20" s="31"/>
      <c r="C20" s="31"/>
      <c r="D20" s="31"/>
    </row>
    <row r="21" spans="1:5" x14ac:dyDescent="0.2">
      <c r="A21" t="s">
        <v>62</v>
      </c>
      <c r="B21" t="str">
        <f>IF(B8&lt;=FARM_BED_CAP,"OK","VIOLATED")</f>
        <v>OK</v>
      </c>
    </row>
    <row r="22" spans="1:5" x14ac:dyDescent="0.2">
      <c r="A22" t="s">
        <v>63</v>
      </c>
      <c r="B22" t="str">
        <f>IF(B5&lt;=TOM_CAP,"OK","VIOLATED")</f>
        <v>OK</v>
      </c>
    </row>
    <row r="23" spans="1:5" x14ac:dyDescent="0.2">
      <c r="A23" t="s">
        <v>64</v>
      </c>
      <c r="B23" t="str">
        <f>IF(B6&lt;=CAR_CAP,"OK","VIOLATED")</f>
        <v>OK</v>
      </c>
    </row>
    <row r="24" spans="1:5" x14ac:dyDescent="0.2">
      <c r="A24" t="s">
        <v>65</v>
      </c>
      <c r="B24" t="str">
        <f>IF(B7&lt;=MES_CAP,"OK","VIOLATED")</f>
        <v>OK</v>
      </c>
    </row>
    <row r="25" spans="1:5" x14ac:dyDescent="0.2">
      <c r="A25" t="s">
        <v>66</v>
      </c>
      <c r="B25" t="str">
        <f>IF(B12&lt;=TEMP_WORKERS_MAX,"OK","VIOLATED")</f>
        <v>OK</v>
      </c>
    </row>
    <row r="32" spans="1:5" x14ac:dyDescent="0.2">
      <c r="E32" t="s">
        <v>67</v>
      </c>
    </row>
  </sheetData>
  <mergeCells count="2">
    <mergeCell ref="A2:F2"/>
    <mergeCell ref="A20:D20"/>
  </mergeCells>
  <conditionalFormatting sqref="B21:B25">
    <cfRule type="expression" dxfId="1" priority="2">
      <formula>B21="OK"</formula>
    </cfRule>
    <cfRule type="expression" dxfId="0" priority="3">
      <formula>B21="VIOLATED"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25</vt:i4>
      </vt:variant>
    </vt:vector>
  </HeadingPairs>
  <TitlesOfParts>
    <vt:vector size="28" baseType="lpstr">
      <vt:lpstr>Inputs</vt:lpstr>
      <vt:lpstr>MC Schedule</vt:lpstr>
      <vt:lpstr>Optimal Mix</vt:lpstr>
      <vt:lpstr>CAR_CAP</vt:lpstr>
      <vt:lpstr>CAR_DIM</vt:lpstr>
      <vt:lpstr>CAR_FERT</vt:lpstr>
      <vt:lpstr>CAR_HPB</vt:lpstr>
      <vt:lpstr>CAR_PRICE</vt:lpstr>
      <vt:lpstr>FARM_BED_CAP</vt:lpstr>
      <vt:lpstr>FARMER_SALARY</vt:lpstr>
      <vt:lpstr>FIXED_COST</vt:lpstr>
      <vt:lpstr>MES_CAP</vt:lpstr>
      <vt:lpstr>MES_DIM</vt:lpstr>
      <vt:lpstr>MES_FERT</vt:lpstr>
      <vt:lpstr>MES_HPB</vt:lpstr>
      <vt:lpstr>MES_PRICE</vt:lpstr>
      <vt:lpstr>PERM_HOURS</vt:lpstr>
      <vt:lpstr>PERM_RATE</vt:lpstr>
      <vt:lpstr>TEMP_RATE</vt:lpstr>
      <vt:lpstr>TEMP_WORKER_HRS</vt:lpstr>
      <vt:lpstr>TEMP_WORKER_PAY</vt:lpstr>
      <vt:lpstr>TEMP_WORKERS_MAX</vt:lpstr>
      <vt:lpstr>TOM_CAP</vt:lpstr>
      <vt:lpstr>TOM_DIM</vt:lpstr>
      <vt:lpstr>TOM_FERT</vt:lpstr>
      <vt:lpstr>TOM_HPB</vt:lpstr>
      <vt:lpstr>TOM_PRICE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Cori Mackie</cp:lastModifiedBy>
  <cp:revision>0</cp:revision>
  <dcterms:created xsi:type="dcterms:W3CDTF">2026-08-24T18:06:05Z</dcterms:created>
  <dcterms:modified xsi:type="dcterms:W3CDTF">2026-09-09T02:41:09Z</dcterms:modified>
  <dc:language>en-US</dc:language>
</cp:coreProperties>
</file>