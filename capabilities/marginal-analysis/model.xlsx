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puts" sheetId="1" state="visible" r:id="rId3"/>
    <sheet name="Marginal Analysis" sheetId="2" state="visible" r:id="rId4"/>
    <sheet name="Optimization" sheetId="3" state="visible" r:id="rId5"/>
    <sheet name="Validation" sheetId="4" state="visible" r:id="rId6"/>
  </sheets>
  <definedNames>
    <definedName function="false" hidden="false" name="CAR_BEDS" vbProcedure="false">Inputs!$B$37</definedName>
    <definedName function="false" hidden="false" name="CAR_CAP" vbProcedure="false">Inputs!$B$26</definedName>
    <definedName function="false" hidden="false" name="CAR_DIM" vbProcedure="false">Inputs!$B$23</definedName>
    <definedName function="false" hidden="false" name="CAR_FERT" vbProcedure="false">Inputs!$B$24</definedName>
    <definedName function="false" hidden="false" name="CAR_HPB" vbProcedure="false">Inputs!$B$22</definedName>
    <definedName function="false" hidden="false" name="CAR_PRICE" vbProcedure="false">Inputs!$B$25</definedName>
    <definedName function="false" hidden="false" name="FARMER_SALARY" vbProcedure="false">Inputs!$B$8</definedName>
    <definedName function="false" hidden="false" name="FARM_BED_CAP" vbProcedure="false">Inputs!$B$13</definedName>
    <definedName function="false" hidden="false" name="FIXED_COST" vbProcedure="false">Inputs!$B$12</definedName>
    <definedName function="false" hidden="false" name="MES_BEDS" vbProcedure="false">Inputs!$B$38</definedName>
    <definedName function="false" hidden="false" name="MES_CAP" vbProcedure="false">Inputs!$B$31</definedName>
    <definedName function="false" hidden="false" name="MES_DIM" vbProcedure="false">Inputs!$B$28</definedName>
    <definedName function="false" hidden="false" name="MES_FERT" vbProcedure="false">Inputs!$B$29</definedName>
    <definedName function="false" hidden="false" name="MES_HPB" vbProcedure="false">Inputs!$B$27</definedName>
    <definedName function="false" hidden="false" name="MES_PRICE" vbProcedure="false">Inputs!$B$30</definedName>
    <definedName function="false" hidden="false" name="OUT_AVC_CAR" vbProcedure="false">'Marginal Analysis'!$B$99</definedName>
    <definedName function="false" hidden="false" name="OUT_AVC_MES" vbProcedure="false">'Marginal Analysis'!$B$100</definedName>
    <definedName function="false" hidden="false" name="OUT_BEDS_IDLE" vbProcedure="false">Optimization!$B$10</definedName>
    <definedName function="false" hidden="false" name="OUT_BEDS_USED" vbProcedure="false">Optimization!$B$9</definedName>
    <definedName function="false" hidden="false" name="OUT_BLENDED_RATE" vbProcedure="false">Optimization!$B$23</definedName>
    <definedName function="false" hidden="false" name="OUT_CAR_BEDS" vbProcedure="false">Optimization!$B$7</definedName>
    <definedName function="false" hidden="false" name="OUT_CONSTRAINTS_OK" vbProcedure="false">Validation!$B$14</definedName>
    <definedName function="false" hidden="false" name="OUT_CROP_FERT_COST" vbProcedure="false">Optimization!$E$37:$E$39</definedName>
    <definedName function="false" hidden="false" name="OUT_CROP_LABOR_COST" vbProcedure="false">Optimization!$F$37:$F$39</definedName>
    <definedName function="false" hidden="false" name="OUT_CROP_PROFIT" vbProcedure="false">Optimization!$G$37:$G$39</definedName>
    <definedName function="false" hidden="false" name="OUT_CROP_REVENUE" vbProcedure="false">Optimization!$D$37:$D$39</definedName>
    <definedName function="false" hidden="false" name="OUT_CROSSING_CAR" vbProcedure="false">'Marginal Analysis'!$B$93</definedName>
    <definedName function="false" hidden="false" name="OUT_CROSSING_MES" vbProcedure="false">'Marginal Analysis'!$B$94</definedName>
    <definedName function="false" hidden="false" name="OUT_CROSSING_TOM" vbProcedure="false">'Marginal Analysis'!$B$92</definedName>
    <definedName function="false" hidden="false" name="OUT_FERT_COST" vbProcedure="false">Optimization!$B$29</definedName>
    <definedName function="false" hidden="false" name="OUT_FIXED_COST" vbProcedure="false">Optimization!$B$30</definedName>
    <definedName function="false" hidden="false" name="OUT_LABOR_COST" vbProcedure="false">Optimization!$B$28</definedName>
    <definedName function="false" hidden="false" name="OUT_MC_SCHEDULE" vbProcedure="false">'Marginal Analysis'!$G$8:$G$27,'Marginal Analysis'!$G$33:$G$52,'Marginal Analysis'!$G$58:$G$87</definedName>
    <definedName function="false" hidden="false" name="OUT_MES_BEDS" vbProcedure="false">Optimization!$B$8</definedName>
    <definedName function="false" hidden="false" name="OUT_PERM_HOURS" vbProcedure="false">Optimization!$B$18</definedName>
    <definedName function="false" hidden="false" name="OUT_PNL_RECONCILES" vbProcedure="false">Optimization!$B$44</definedName>
    <definedName function="false" hidden="false" name="OUT_P_MINUS_MC" vbProcedure="false">'Marginal Analysis'!$I$8:$I$27,'Marginal Analysis'!$I$33:$I$52,'Marginal Analysis'!$I$58:$I$87</definedName>
    <definedName function="false" hidden="false" name="OUT_REVENUE" vbProcedure="false">Optimization!$B$27</definedName>
    <definedName function="false" hidden="false" name="OUT_SEASON_PROFIT" vbProcedure="false">Optimization!$B$32</definedName>
    <definedName function="false" hidden="false" name="OUT_SHADOW_CAR" vbProcedure="false">'Marginal Analysis'!$B$97</definedName>
    <definedName function="false" hidden="false" name="OUT_SHADOW_MES" vbProcedure="false">'Marginal Analysis'!$B$98</definedName>
    <definedName function="false" hidden="false" name="OUT_TEMP_HOURS" vbProcedure="false">Optimization!$B$19</definedName>
    <definedName function="false" hidden="false" name="OUT_TEMP_WORKERS" vbProcedure="false">Optimization!$B$20</definedName>
    <definedName function="false" hidden="false" name="OUT_TOM_BEDS" vbProcedure="false">Optimization!$B$6</definedName>
    <definedName function="false" hidden="false" name="OUT_TOM_DIP_BED" vbProcedure="false">'Marginal Analysis'!$B$95</definedName>
    <definedName function="false" hidden="false" name="OUT_TOM_DIP_SIZE" vbProcedure="false">'Marginal Analysis'!$B$96</definedName>
    <definedName function="false" hidden="false" name="OUT_TOTAL_COST" vbProcedure="false">Optimization!$B$31</definedName>
    <definedName function="false" hidden="false" name="OUT_TOTAL_HOURS" vbProcedure="false">Optimization!$B$17</definedName>
    <definedName function="false" hidden="false" name="PERM_HOURS" vbProcedure="false">Inputs!$B$7</definedName>
    <definedName function="false" hidden="false" name="PERM_RATE" vbProcedure="false">Inputs!$B$42</definedName>
    <definedName function="false" hidden="false" name="TEMP_RATE" vbProcedure="false">Inputs!$B$43</definedName>
    <definedName function="false" hidden="false" name="TEMP_WORKERS_MAX" vbProcedure="false">Inputs!$B$11</definedName>
    <definedName function="false" hidden="false" name="TEMP_WORKER_HRS" vbProcedure="false">Inputs!$B$10</definedName>
    <definedName function="false" hidden="false" name="TEMP_WORKER_PAY" vbProcedure="false">Inputs!$B$9</definedName>
    <definedName function="false" hidden="false" name="TOM_BEDS" vbProcedure="false">Inputs!$B$36</definedName>
    <definedName function="false" hidden="false" name="TOM_CAP" vbProcedure="false">Inputs!$B$21</definedName>
    <definedName function="false" hidden="false" name="TOM_DIM" vbProcedure="false">Inputs!$B$18</definedName>
    <definedName function="false" hidden="false" name="TOM_FERT" vbProcedure="false">Inputs!$B$19</definedName>
    <definedName function="false" hidden="false" name="TOM_HPB" vbProcedure="false">Inputs!$B$17</definedName>
    <definedName function="false" hidden="false" name="TOM_PRICE" vbProcedure="false">Inputs!$B$20</definedName>
    <definedName function="false" hidden="false" name="WEEKS" vbProcedure="false">Inputs!$B$6</definedName>
    <definedName function="false" hidden="true" localSheetId="2" name="solver_adj" vbProcedure="false">Inputs!$B$36:$B$38</definedName>
    <definedName function="false" hidden="true" localSheetId="2" name="solver_eng" vbProcedure="false">1</definedName>
    <definedName function="false" hidden="true" localSheetId="2" name="solver_lhs1" vbProcedure="false">Inputs!$B$36</definedName>
    <definedName function="false" hidden="true" localSheetId="2" name="solver_lhs2" vbProcedure="false">Inputs!$B$37</definedName>
    <definedName function="false" hidden="true" localSheetId="2" name="solver_lhs3" vbProcedure="false">Inputs!$B$38</definedName>
    <definedName function="false" hidden="true" localSheetId="2" name="solver_lhs4" vbProcedure="false">Optimization!$B$9</definedName>
    <definedName function="false" hidden="true" localSheetId="2" name="solver_lhs5" vbProcedure="false">Optimization!$B$20</definedName>
    <definedName function="false" hidden="true" localSheetId="2" name="solver_lhs6" vbProcedure="false">Inputs!$B$36:$B$38</definedName>
    <definedName function="false" hidden="true" localSheetId="2" name="solver_neg" vbProcedure="false">1</definedName>
    <definedName function="false" hidden="true" localSheetId="2" name="solver_num" vbProcedure="false">6</definedName>
    <definedName function="false" hidden="true" localSheetId="2" name="solver_opt" vbProcedure="false">Optimization!$B$32</definedName>
    <definedName function="false" hidden="true" localSheetId="2" name="solver_rel1" vbProcedure="false">1</definedName>
    <definedName function="false" hidden="true" localSheetId="2" name="solver_rel2" vbProcedure="false">1</definedName>
    <definedName function="false" hidden="true" localSheetId="2" name="solver_rel3" vbProcedure="false">1</definedName>
    <definedName function="false" hidden="true" localSheetId="2" name="solver_rel4" vbProcedure="false">1</definedName>
    <definedName function="false" hidden="true" localSheetId="2" name="solver_rel5" vbProcedure="false">1</definedName>
    <definedName function="false" hidden="true" localSheetId="2" name="solver_rel6" vbProcedure="false">4</definedName>
    <definedName function="false" hidden="true" localSheetId="2" name="solver_rhs1" vbProcedure="false">Inputs!$B$21</definedName>
    <definedName function="false" hidden="true" localSheetId="2" name="solver_rhs2" vbProcedure="false">Inputs!$B$26</definedName>
    <definedName function="false" hidden="true" localSheetId="2" name="solver_rhs3" vbProcedure="false">Inputs!$B$31</definedName>
    <definedName function="false" hidden="true" localSheetId="2" name="solver_rhs4" vbProcedure="false">Inputs!$B$13</definedName>
    <definedName function="false" hidden="true" localSheetId="2" name="solver_rhs5" vbProcedure="false">Inputs!$B$11</definedName>
    <definedName function="false" hidden="true" localSheetId="2" name="solver_rhs6" vbProcedure="false">integer</definedName>
    <definedName function="false" hidden="true" localSheetId="2" name="solver_typ" vbProcedure="false">1</definedName>
    <definedName function="false" hidden="true" localSheetId="2" name="solver_val" vbProcedure="false">0</definedName>
    <definedName function="false" hidden="true" localSheetId="2" name="solver_ver" vbProcedure="false">3</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<sst xmlns="http://schemas.openxmlformats.org/spreadsheetml/2006/main" count="411" uniqueCount="269">
  <si>
    <t xml:space="preserve">Farm Labor &amp; Profit Model — Inputs</t>
  </si>
  <si>
    <t xml:space="preserve">Every input below is a named range carrying its stated unit. Shaded cells are the only typed constants in the workbook; everything else, on every sheet, is a formula.</t>
  </si>
  <si>
    <t xml:space="preserve">Farm-wide assumptions</t>
  </si>
  <si>
    <t xml:space="preserve">Name</t>
  </si>
  <si>
    <t xml:space="preserve">Value</t>
  </si>
  <si>
    <t xml:space="preserve">Unit</t>
  </si>
  <si>
    <t xml:space="preserve">Source</t>
  </si>
  <si>
    <t xml:space="preserve">WEEKS</t>
  </si>
  <si>
    <t xml:space="preserve">weeks</t>
  </si>
  <si>
    <t xml:space="preserve">Case scenario — season length</t>
  </si>
  <si>
    <t xml:space="preserve">PERM_HOURS</t>
  </si>
  <si>
    <t xml:space="preserve">hours per season</t>
  </si>
  <si>
    <t xml:space="preserve">Case scenario — half the farmer's season</t>
  </si>
  <si>
    <t xml:space="preserve">FARMER_SALARY</t>
  </si>
  <si>
    <t xml:space="preserve">$ per season</t>
  </si>
  <si>
    <t xml:space="preserve">Case scenario</t>
  </si>
  <si>
    <t xml:space="preserve">TEMP_WORKER_PAY</t>
  </si>
  <si>
    <t xml:space="preserve">$ per worker per season</t>
  </si>
  <si>
    <t xml:space="preserve">TEMP_WORKER_HRS</t>
  </si>
  <si>
    <t xml:space="preserve">hours per worker per season</t>
  </si>
  <si>
    <t xml:space="preserve">TEMP_WORKERS_MAX</t>
  </si>
  <si>
    <t xml:space="preserve">workers</t>
  </si>
  <si>
    <t xml:space="preserve">Case scenario constraint</t>
  </si>
  <si>
    <t xml:space="preserve">FIXED_COST</t>
  </si>
  <si>
    <t xml:space="preserve">FARM_BED_CAP</t>
  </si>
  <si>
    <t xml:space="preserve">beds</t>
  </si>
  <si>
    <t xml:space="preserve">Case scenario — 16 beds x 4 plots</t>
  </si>
  <si>
    <t xml:space="preserve">Per-crop assumptions</t>
  </si>
  <si>
    <t xml:space="preserve">TOM_HPB</t>
  </si>
  <si>
    <t xml:space="preserve">hours per week per bed</t>
  </si>
  <si>
    <t xml:space="preserve">Case table</t>
  </si>
  <si>
    <t xml:space="preserve">TOM_DIM</t>
  </si>
  <si>
    <t xml:space="preserve">fraction, per bed</t>
  </si>
  <si>
    <t xml:space="preserve">TOM_FERT</t>
  </si>
  <si>
    <t xml:space="preserve">$ per bed</t>
  </si>
  <si>
    <t xml:space="preserve">TOM_PRICE</t>
  </si>
  <si>
    <t xml:space="preserve">TOM_CAP</t>
  </si>
  <si>
    <t xml:space="preserve">CAR_HPB</t>
  </si>
  <si>
    <t xml:space="preserve">Case shows 0.833; that figure is rounded. Entered as =5/6 to hold exact precision (spec Convention 1).</t>
  </si>
  <si>
    <t xml:space="preserve">CAR_DIM</t>
  </si>
  <si>
    <t xml:space="preserve">CAR_FERT</t>
  </si>
  <si>
    <t xml:space="preserve">CAR_PRICE</t>
  </si>
  <si>
    <t xml:space="preserve">CAR_CAP</t>
  </si>
  <si>
    <t xml:space="preserve">MES_HPB</t>
  </si>
  <si>
    <t xml:space="preserve">MES_DIM</t>
  </si>
  <si>
    <t xml:space="preserve">MES_FERT</t>
  </si>
  <si>
    <t xml:space="preserve">MES_PRICE</t>
  </si>
  <si>
    <t xml:space="preserve">MES_CAP</t>
  </si>
  <si>
    <t xml:space="preserve">Decision variables — the Solver changing cells</t>
  </si>
  <si>
    <t xml:space="preserve">Whole beds only: a bed is planted or it is not. These three cells are the only cells Solver changes.</t>
  </si>
  <si>
    <t xml:space="preserve">Lower bound</t>
  </si>
  <si>
    <t xml:space="preserve">Upper bound</t>
  </si>
  <si>
    <t xml:space="preserve">TOM_BEDS</t>
  </si>
  <si>
    <t xml:space="preserve">beds, integer</t>
  </si>
  <si>
    <t xml:space="preserve">CAR_BEDS</t>
  </si>
  <si>
    <t xml:space="preserve">MES_BEDS</t>
  </si>
  <si>
    <t xml:space="preserve">Derived rates — never entered as constants (spec §1, §3C)</t>
  </si>
  <si>
    <t xml:space="preserve">Formula</t>
  </si>
  <si>
    <t xml:space="preserve">PERM_RATE</t>
  </si>
  <si>
    <t xml:space="preserve">$ per hour</t>
  </si>
  <si>
    <t xml:space="preserve">FARMER_SALARY / 2 / PERM_HOURS  (prints as 34.72; the exact quotient governs)</t>
  </si>
  <si>
    <t xml:space="preserve">TEMP_RATE</t>
  </si>
  <si>
    <t xml:space="preserve">TEMP_WORKER_PAY / TEMP_WORKER_HRS  (prints as 17.36; the exact quotient governs)</t>
  </si>
  <si>
    <t xml:space="preserve">Cost / Marginal Analysis — three standalone schedules</t>
  </si>
  <si>
    <t xml:space="preserve">One schedule per crop, each built as though that crop were the only thing planted and each drawing on the full 720 permanent hours by itself (spec Convention 5). MC(q) is per crop: the labor cost of that crop's qth bed plus one bed of fertilizer. It excludes FIXED_COST.</t>
  </si>
  <si>
    <t xml:space="preserve">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</si>
  <si>
    <t xml:space="preserve">TOMATOES — standalone schedule (q = 0 to TOM_CAP)</t>
  </si>
  <si>
    <t xml:space="preserve">CUM_VC(q): running sum of MC(q), excluding FIXED_COST. AVC(q) = CUM_VC(q) / q.</t>
  </si>
  <si>
    <t xml:space="preserve">q (beds)</t>
  </si>
  <si>
    <t xml:space="preserve">LABOR_HRS(q)</t>
  </si>
  <si>
    <t xml:space="preserve">MARGINAL_HRS(q)</t>
  </si>
  <si>
    <t xml:space="preserve">PERM_HRS(q)</t>
  </si>
  <si>
    <t xml:space="preserve">TEMP_HRS(q)</t>
  </si>
  <si>
    <t xml:space="preserve">Fertilizer, 1 bed</t>
  </si>
  <si>
    <t xml:space="preserve">MC(q)</t>
  </si>
  <si>
    <t xml:space="preserve">Price per bed</t>
  </si>
  <si>
    <t xml:space="preserve">P - MC(q)</t>
  </si>
  <si>
    <t xml:space="preserve">Decision (V7)</t>
  </si>
  <si>
    <t xml:space="preserve">Dip flag</t>
  </si>
  <si>
    <t xml:space="preserve">CUM_VC(q)</t>
  </si>
  <si>
    <t xml:space="preserve">AVC(q)</t>
  </si>
  <si>
    <t xml:space="preserve">CARROTS — standalone schedule (q = 0 to CAR_CAP, plus one bed past the cap)</t>
  </si>
  <si>
    <t xml:space="preserve">Past cap</t>
  </si>
  <si>
    <t xml:space="preserve">One bed past CAR_CAP, not plantable. P - MC here is what the cap costs: the shadow price of one more bed.</t>
  </si>
  <si>
    <t xml:space="preserve">MESCLUN — standalone schedule (q = 0 to MES_CAP, plus one bed past the cap)</t>
  </si>
  <si>
    <t xml:space="preserve">One bed past MES_CAP, not plantable. P - MC here is what the cap costs: the shadow price of one more bed.</t>
  </si>
  <si>
    <t xml:space="preserve">Standalone crossing points and the tomato dip</t>
  </si>
  <si>
    <t xml:space="preserve">Output</t>
  </si>
  <si>
    <t xml:space="preserve">Definition</t>
  </si>
  <si>
    <t xml:space="preserve">OUT_CROSSING_TOM</t>
  </si>
  <si>
    <t xml:space="preserve">Beds planted before the first bed whose MC exceeds price (V7)</t>
  </si>
  <si>
    <t xml:space="preserve">OUT_CROSSING_CAR</t>
  </si>
  <si>
    <t xml:space="preserve">OUT_CROSSING_MES</t>
  </si>
  <si>
    <t xml:space="preserve">OUT_TOM_DIP_BED</t>
  </si>
  <si>
    <t xml:space="preserve">bed</t>
  </si>
  <si>
    <t xml:space="preserve">First tomato bed whose marginal cost falls below the bed before it. Reported, not explained.</t>
  </si>
  <si>
    <t xml:space="preserve">OUT_TOM_DIP_SIZE</t>
  </si>
  <si>
    <t xml:space="preserve">$</t>
  </si>
  <si>
    <t xml:space="preserve">Size of that fall, in dollars.</t>
  </si>
  <si>
    <t xml:space="preserve">OUT_SHADOW_CAR</t>
  </si>
  <si>
    <t xml:space="preserve">Profit from one carrot bed past CAR_CAP (P - MC at bed 21): the shadow price of the carrot cap.</t>
  </si>
  <si>
    <t xml:space="preserve">OUT_SHADOW_MES</t>
  </si>
  <si>
    <t xml:space="preserve">Profit from one mesclun bed past MES_CAP (P - MC at bed 31): the shadow price of the mesclun cap.</t>
  </si>
  <si>
    <t xml:space="preserve">OUT_AVC_CAR</t>
  </si>
  <si>
    <t xml:space="preserve">Carrot average variable cost at the cap (20 beds), standalone.</t>
  </si>
  <si>
    <t xml:space="preserve">OUT_AVC_MES</t>
  </si>
  <si>
    <t xml:space="preserve">Mesclun average variable cost at the cap (30 beds), standalone.</t>
  </si>
  <si>
    <t xml:space="preserve">Optimization — season profit at the current bed counts</t>
  </si>
  <si>
    <t xml:space="preserve">Everything here is driven by TOM_BEDS / CAR_BEDS / MES_BEDS on the Inputs sheet. Season profit in OUT_SEASON_PROFIT is the Solver objective.</t>
  </si>
  <si>
    <t xml:space="preserve">The decision</t>
  </si>
  <si>
    <t xml:space="preserve">What it reports</t>
  </si>
  <si>
    <t xml:space="preserve">OUT_TOM_BEDS</t>
  </si>
  <si>
    <t xml:space="preserve">Optimal tomato beds</t>
  </si>
  <si>
    <t xml:space="preserve">OUT_CAR_BEDS</t>
  </si>
  <si>
    <t xml:space="preserve">Optimal carrot beds</t>
  </si>
  <si>
    <t xml:space="preserve">OUT_MES_BEDS</t>
  </si>
  <si>
    <t xml:space="preserve">Optimal mesclun beds</t>
  </si>
  <si>
    <t xml:space="preserve">OUT_BEDS_USED</t>
  </si>
  <si>
    <t xml:space="preserve">Total beds planted</t>
  </si>
  <si>
    <t xml:space="preserve">OUT_BEDS_IDLE</t>
  </si>
  <si>
    <t xml:space="preserve">FARM_BED_CAP less beds planted</t>
  </si>
  <si>
    <t xml:space="preserve">Labor</t>
  </si>
  <si>
    <t xml:space="preserve">Tomato field hours</t>
  </si>
  <si>
    <t xml:space="preserve">hours</t>
  </si>
  <si>
    <t xml:space="preserve">LABOR_HRS(q) = q x HRS_PER_WEEK_PER_BED x WEEKS x (1 + DIM_PCT)^q</t>
  </si>
  <si>
    <t xml:space="preserve">Carrot field hours</t>
  </si>
  <si>
    <t xml:space="preserve">Mesclun field hours</t>
  </si>
  <si>
    <t xml:space="preserve">OUT_TOTAL_HOURS</t>
  </si>
  <si>
    <t xml:space="preserve">Total field hours required (TOTAL_LABOR / TOTAL_LABOR_HOURS)</t>
  </si>
  <si>
    <t xml:space="preserve">OUT_PERM_HOURS</t>
  </si>
  <si>
    <t xml:space="preserve">Hours worked by the farmer — her hours are used first</t>
  </si>
  <si>
    <t xml:space="preserve">OUT_TEMP_HOURS</t>
  </si>
  <si>
    <t xml:space="preserve">Hours worked by temporary labor</t>
  </si>
  <si>
    <t xml:space="preserve">OUT_TEMP_WORKERS</t>
  </si>
  <si>
    <t xml:space="preserve">Temps are hired by the season: a worker needed for one hour is a worker hired</t>
  </si>
  <si>
    <t xml:space="preserve">Permanent labor cost</t>
  </si>
  <si>
    <t xml:space="preserve">Only the field half of FARMER_SALARY is charged (spec Convention 2)</t>
  </si>
  <si>
    <t xml:space="preserve">Temporary labor cost</t>
  </si>
  <si>
    <t xml:space="preserve">Charged per hour worked, not per whole seasonal contract (spec Convention 3)</t>
  </si>
  <si>
    <t xml:space="preserve">OUT_BLENDED_RATE</t>
  </si>
  <si>
    <t xml:space="preserve">Total labor dollars / total labor hours. Used only for the per-crop P&amp;L (spec §3H).</t>
  </si>
  <si>
    <t xml:space="preserve">Money</t>
  </si>
  <si>
    <t xml:space="preserve">OUT_REVENUE</t>
  </si>
  <si>
    <t xml:space="preserve">Total season revenue</t>
  </si>
  <si>
    <t xml:space="preserve">OUT_LABOR_COST</t>
  </si>
  <si>
    <t xml:space="preserve">Permanent plus temporary labor</t>
  </si>
  <si>
    <t xml:space="preserve">OUT_FERT_COST</t>
  </si>
  <si>
    <t xml:space="preserve">Fertilizer, all crops</t>
  </si>
  <si>
    <t xml:space="preserve">OUT_FIXED_COST</t>
  </si>
  <si>
    <t xml:space="preserve">Fixed cost — not allocated to crops, not in MC(q)</t>
  </si>
  <si>
    <t xml:space="preserve">OUT_TOTAL_COST</t>
  </si>
  <si>
    <t xml:space="preserve">All three added</t>
  </si>
  <si>
    <t xml:space="preserve">OUT_SEASON_PROFIT</t>
  </si>
  <si>
    <t xml:space="preserve">Revenue less total cost — the Solver objective</t>
  </si>
  <si>
    <t xml:space="preserve">Per-crop P&amp;L — labor allocated at OUT_BLENDED_RATE (spec §3H)</t>
  </si>
  <si>
    <t xml:space="preserve">No crop hires the temporary workers; the season does. Because the blended rate is total labor dollars divided by total labor hours, the three crop labor costs add back to OUT_LABOR_COST exactly.</t>
  </si>
  <si>
    <t xml:space="preserve">Crop</t>
  </si>
  <si>
    <t xml:space="preserve">Field hours</t>
  </si>
  <si>
    <t xml:space="preserve">OUT_CROP_REVENUE</t>
  </si>
  <si>
    <t xml:space="preserve">OUT_CROP_FERT_COST</t>
  </si>
  <si>
    <t xml:space="preserve">OUT_CROP_LABOR_COST</t>
  </si>
  <si>
    <t xml:space="preserve">OUT_CROP_PROFIT</t>
  </si>
  <si>
    <t xml:space="preserve">Tomatoes</t>
  </si>
  <si>
    <t xml:space="preserve">Carrots</t>
  </si>
  <si>
    <t xml:space="preserve">Mesclun</t>
  </si>
  <si>
    <t xml:space="preserve">Total</t>
  </si>
  <si>
    <t xml:space="preserve">Less OUT_FIXED_COST</t>
  </si>
  <si>
    <t xml:space="preserve">Reconciles to OUT_SEASON_PROFIT</t>
  </si>
  <si>
    <t xml:space="preserve">OUT_PNL_RECONCILES</t>
  </si>
  <si>
    <t xml:space="preserve">OK when the three crop labor costs sum to OUT_LABOR_COST and the three crop profits less OUT_FIXED_COST equal OUT_SEASON_PROFIT.</t>
  </si>
  <si>
    <t xml:space="preserve">Solver setup (V6)</t>
  </si>
  <si>
    <t xml:space="preserve">Engine</t>
  </si>
  <si>
    <t xml:space="preserve">GRG Nonlinear, with integer decision variables</t>
  </si>
  <si>
    <t xml:space="preserve">Objective</t>
  </si>
  <si>
    <t xml:space="preserve">Maximize OUT_SEASON_PROFIT (Optimization!$B$32)</t>
  </si>
  <si>
    <t xml:space="preserve">By changing</t>
  </si>
  <si>
    <t xml:space="preserve">TOM_BEDS, CAR_BEDS, MES_BEDS (Inputs!$B$36:$B$38)</t>
  </si>
  <si>
    <t xml:space="preserve">Constraint 1</t>
  </si>
  <si>
    <t xml:space="preserve">TOM_BEDS &lt;= TOM_CAP  (20)</t>
  </si>
  <si>
    <t xml:space="preserve">Constraint 2</t>
  </si>
  <si>
    <t xml:space="preserve">CAR_BEDS &lt;= CAR_CAP  (20)</t>
  </si>
  <si>
    <t xml:space="preserve">Constraint 3</t>
  </si>
  <si>
    <t xml:space="preserve">MES_BEDS &lt;= MES_CAP  (30)</t>
  </si>
  <si>
    <t xml:space="preserve">Constraint 4</t>
  </si>
  <si>
    <t xml:space="preserve">OUT_BEDS_USED &lt;= FARM_BED_CAP  (64)</t>
  </si>
  <si>
    <t xml:space="preserve">Constraint 5</t>
  </si>
  <si>
    <t xml:space="preserve">OUT_TEMP_WORKERS &lt;= TEMP_WORKERS_MAX  (4)</t>
  </si>
  <si>
    <t xml:space="preserve">Constraint 6</t>
  </si>
  <si>
    <t xml:space="preserve">TOM_BEDS, CAR_BEDS, MES_BEDS = integer</t>
  </si>
  <si>
    <t xml:space="preserve">Constraint 7</t>
  </si>
  <si>
    <t xml:space="preserve">TOM_BEDS, CAR_BEDS, MES_BEDS &gt;= 0</t>
  </si>
  <si>
    <t xml:space="preserve">Not a constraint</t>
  </si>
  <si>
    <t xml:space="preserve">The farmer's 720 hours. She works them or she does not; what is beyond them is hired.</t>
  </si>
  <si>
    <t xml:space="preserve">Run it twice</t>
  </si>
  <si>
    <t xml:space="preserve">From 0/0/0 and from 15/0/0 (V3). Both starts are feasible and both are far from the answer: 15/0/0 needs 5,639 hours and exactly four temps.</t>
  </si>
  <si>
    <t xml:space="preserve">Validation</t>
  </si>
  <si>
    <t xml:space="preserve">Every check below is computed in this workbook and displays OK or VIOLATED — no other wording, so a failed check is visible at a glance rather than read for.</t>
  </si>
  <si>
    <t xml:space="preserve">The constraints (V5 — 'all constraints satisfied')</t>
  </si>
  <si>
    <t xml:space="preserve">Constraint</t>
  </si>
  <si>
    <t xml:space="preserve">Check</t>
  </si>
  <si>
    <t xml:space="preserve">Rule</t>
  </si>
  <si>
    <t xml:space="preserve">Note</t>
  </si>
  <si>
    <t xml:space="preserve">Tomato bed cap</t>
  </si>
  <si>
    <t xml:space="preserve">TOM_BEDS &lt;= TOM_CAP (20)</t>
  </si>
  <si>
    <t xml:space="preserve">Carrot bed cap</t>
  </si>
  <si>
    <t xml:space="preserve">CAR_BEDS &lt;= CAR_CAP (20)</t>
  </si>
  <si>
    <t xml:space="preserve">Mesclun bed cap</t>
  </si>
  <si>
    <t xml:space="preserve">MES_BEDS &lt;= MES_CAP (30)</t>
  </si>
  <si>
    <t xml:space="preserve">Farm bed cap</t>
  </si>
  <si>
    <t xml:space="preserve">TOM_BEDS + CAR_BEDS + MES_BEDS &lt;= FARM_BED_CAP (64)</t>
  </si>
  <si>
    <t xml:space="preserve">Temporary workers</t>
  </si>
  <si>
    <t xml:space="preserve">OUT_TEMP_WORKERS &lt;= TEMP_WORKERS_MAX (4). The constraint is on whole workers, not hours.</t>
  </si>
  <si>
    <t xml:space="preserve">Whole beds</t>
  </si>
  <si>
    <t xml:space="preserve">All three bed counts are integers</t>
  </si>
  <si>
    <t xml:space="preserve">Non-negative</t>
  </si>
  <si>
    <t xml:space="preserve">All three bed counts are &gt;= 0</t>
  </si>
  <si>
    <t xml:space="preserve">OUT_CONSTRAINTS_OK</t>
  </si>
  <si>
    <t xml:space="preserve">OK only when every constraint check above reads OK.</t>
  </si>
  <si>
    <t xml:space="preserve">V1 — Hand check, one tomato bed</t>
  </si>
  <si>
    <t xml:space="preserve">Item</t>
  </si>
  <si>
    <t xml:space="preserve">Check / value</t>
  </si>
  <si>
    <t xml:space="preserve">Expected</t>
  </si>
  <si>
    <t xml:space="preserve">Model, LABOR_HRS at q = 1 (tomato)</t>
  </si>
  <si>
    <t xml:space="preserve">1 x 2.5 x 36 x 1.10 = 99 hours, computed by hand.</t>
  </si>
  <si>
    <t xml:space="preserve">V1 check</t>
  </si>
  <si>
    <t xml:space="preserve">Would catch a dropped (1 + dim)^q term: without the exponent the same cell returns 90 hours.</t>
  </si>
  <si>
    <t xml:space="preserve">V2 — Mid-schedule hand check</t>
  </si>
  <si>
    <t xml:space="preserve">Taken from the middle of a schedule, not from either end: an endpoint can agree by accident where the interior cannot. V1 checks the hours function at q = 1, where 99 hours is easy to see; this checks the cost of a bed ten rows down, where the permanent hours are long gone and every term of MC(q) is in play. Work the arithmetic yourself from the case table and enter the result in the shaded cell; the check is a formula. Copying the figure out of the model defeats the check.</t>
  </si>
  <si>
    <t xml:space="preserve">This model, MC of tomato bed 10</t>
  </si>
  <si>
    <t xml:space="preserve">Spec V2 detail: this model returns $8,249.</t>
  </si>
  <si>
    <t xml:space="preserve">Hand-computed, MC of tomato bed 10  &lt;- ENTER OBSERVED</t>
  </si>
  <si>
    <t xml:space="preserve">Observed input, not a calculated cell. Left empty until the arithmetic is done; the check below reads VIOLATED while it is empty. LABOR_HRS(10) - LABOR_HRS(9) = 424.4306 hours, all of it temporary, at TEMP_RATE, plus one bed of fertilizer.</t>
  </si>
  <si>
    <t xml:space="preserve">V2 check</t>
  </si>
  <si>
    <t xml:space="preserve">Must agree to the dollar.</t>
  </si>
  <si>
    <t xml:space="preserve">V3 — Solver from two starting points</t>
  </si>
  <si>
    <t xml:space="preserve">Run Solver from 0/0/0 and again from 15/0/0 and record the season profit each run reports. Both runs have to agree on season profit; they do not have to arrive by the same route. If the profit differs, one of them found a local optimum and the result is not the answer.</t>
  </si>
  <si>
    <t xml:space="preserve">Season profit from start 0/0/0  &lt;- ENTER OBSERVED</t>
  </si>
  <si>
    <t xml:space="preserve">Season profit from start 15/0/0  &lt;- ENTER OBSERVED</t>
  </si>
  <si>
    <t xml:space="preserve">Both start points must be feasible: an infeasible start returns no profit figure, and this check cannot pass without one. 20/0/0 was the earlier choice and is infeasible - 12,109 hours, about eight temp workers against a cap of four - and every single-bed neighbour of it is infeasible too, so Solver has no route out. 15/0/0 is the nearest tomato-only start that fits the four-worker cap, and it is thirty hill-climb steps from the answer.</t>
  </si>
  <si>
    <t xml:space="preserve">V3 check</t>
  </si>
  <si>
    <t xml:space="preserve">Both runs agree on season profit to the dollar.</t>
  </si>
  <si>
    <t xml:space="preserve">V4 — Acceptance criteria</t>
  </si>
  <si>
    <t xml:space="preserve">Result</t>
  </si>
  <si>
    <t xml:space="preserve">Required</t>
  </si>
  <si>
    <t xml:space="preserve">Optimal mix</t>
  </si>
  <si>
    <t xml:space="preserve">10 tomatoes / 20 carrots / 30 mesclun</t>
  </si>
  <si>
    <t xml:space="preserve">Season profit</t>
  </si>
  <si>
    <t xml:space="preserve">Rounds to $42,762 and does not exceed it</t>
  </si>
  <si>
    <t xml:space="preserve">Standalone P = MC points</t>
  </si>
  <si>
    <t xml:space="preserve">Tomatoes 10 / Carrots 10 / Mesclun 6 — exact bed counts, no tolerance</t>
  </si>
  <si>
    <t xml:space="preserve">V5 — Integrity</t>
  </si>
  <si>
    <t xml:space="preserve">No spreadsheet errors</t>
  </si>
  <si>
    <t xml:space="preserve">Zero error cells across the schedules and the optimization block</t>
  </si>
  <si>
    <t xml:space="preserve">All constraints satisfied</t>
  </si>
  <si>
    <t xml:space="preserve">OUT_CONSTRAINTS_OK reads OK</t>
  </si>
  <si>
    <t xml:space="preserve">Per-crop P&amp;L reconciles</t>
  </si>
  <si>
    <t xml:space="preserve">Crop labor costs sum to OUT_LABOR_COST; crop profits less fixed cost equal season profit</t>
  </si>
  <si>
    <t xml:space="preserve">Rates derived, not typed</t>
  </si>
  <si>
    <t xml:space="preserve">Exact quotients, not the printed $34.72 / $17.36</t>
  </si>
  <si>
    <t xml:space="preserve">Typing the printed values returns a season profit of $42,768 against a check figure of $42,762.</t>
  </si>
  <si>
    <t xml:space="preserve">V7 — The crossing rule</t>
  </si>
  <si>
    <t xml:space="preserve">Tomatoes — Plant block never restarts</t>
  </si>
  <si>
    <t xml:space="preserve">Every Plant precedes every Stop — the block starts at bed 1 and never restarts</t>
  </si>
  <si>
    <t xml:space="preserve">Carrots — Plant block never restarts</t>
  </si>
  <si>
    <t xml:space="preserve">Catches the first build's defect: Plant 1-10, Stop 11-16, then Plant again 17-20. A per-bed label reports no crossing point at all.</t>
  </si>
  <si>
    <t xml:space="preserve">Mesclun — Plant block never restarts</t>
  </si>
  <si>
    <t xml:space="preserve">Mesclun stopped at 6 and came back under price at 14; it stays stopped.</t>
  </si>
  <si>
    <t xml:space="preserve">Reported, not explained (spec §5)</t>
  </si>
  <si>
    <t xml:space="preserve">Locating the dip is this stage's job; accounting for it is Stage 3's.</t>
  </si>
</sst>
</file>

<file path=xl/styles.xml><?xml version="1.0" encoding="utf-8"?>
<styleSheet xmlns="http://schemas.openxmlformats.org/spreadsheetml/2006/main">
  <numFmts count="8">
    <numFmt numFmtId="164" formatCode="General"/>
    <numFmt numFmtId="165" formatCode="#,##0"/>
    <numFmt numFmtId="166" formatCode="#,##0;[RED]\-#,##0"/>
    <numFmt numFmtId="167" formatCode="#,##0.00"/>
    <numFmt numFmtId="168" formatCode="0.0000"/>
    <numFmt numFmtId="169" formatCode="#,##0.0000"/>
    <numFmt numFmtId="170" formatCode="#,##0.00;[RED]\-#,##0.00"/>
    <numFmt numFmtId="171"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Calibri"/>
      <family val="2"/>
      <charset val="1"/>
    </font>
    <font>
      <i val="true"/>
      <sz val="9"/>
      <color rgb="FF595959"/>
      <name val="Calibri"/>
      <family val="2"/>
      <charset val="1"/>
    </font>
    <font>
      <b val="true"/>
      <sz val="11"/>
      <color rgb="FF1F3864"/>
      <name val="Calibri"/>
      <family val="2"/>
      <charset val="1"/>
    </font>
    <font>
      <b val="true"/>
      <sz val="10"/>
      <color rgb="FFFFFFFF"/>
      <name val="Calibri"/>
      <family val="2"/>
      <charset val="1"/>
    </font>
    <font>
      <b val="true"/>
      <sz val="11"/>
      <name val="Calibri"/>
      <family val="2"/>
      <charset val="1"/>
    </font>
    <font>
      <i val="true"/>
      <sz val="11"/>
      <color rgb="FF595959"/>
      <name val="Calibri"/>
      <family val="0"/>
      <charset val="1"/>
    </font>
    <font>
      <i val="true"/>
      <sz val="11"/>
      <color rgb="FF595959"/>
      <name val="Calibri"/>
      <family val="2"/>
      <charset val="1"/>
    </font>
  </fonts>
  <fills count="7">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AD3"/>
        <bgColor rgb="FFE8F0FE"/>
      </patternFill>
    </fill>
    <fill>
      <patternFill patternType="solid">
        <fgColor rgb="FFE8F0FE"/>
        <bgColor rgb="FFD9EAD3"/>
      </patternFill>
    </fill>
    <fill>
      <patternFill patternType="solid">
        <fgColor rgb="FFFFE5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3" borderId="1" xfId="0" applyFont="false" applyBorder="true" applyAlignment="false" applyProtection="false">
      <alignment horizontal="general" vertical="bottom" textRotation="0" wrapText="false" indent="0" shrinkToFit="false"/>
      <protection locked="true" hidden="false"/>
    </xf>
    <xf numFmtId="167" fontId="0" fillId="3" borderId="1" xfId="0" applyFont="false" applyBorder="true" applyAlignment="false" applyProtection="false">
      <alignment horizontal="general" vertical="bottom" textRotation="0" wrapText="false" indent="0" shrinkToFit="false"/>
      <protection locked="true" hidden="false"/>
    </xf>
    <xf numFmtId="168" fontId="0" fillId="3" borderId="1" xfId="0" applyFont="false" applyBorder="true" applyAlignment="false" applyProtection="false">
      <alignment horizontal="general" vertical="bottom" textRotation="0" wrapText="false" indent="0" shrinkToFit="false"/>
      <protection locked="true" hidden="false"/>
    </xf>
    <xf numFmtId="169" fontId="0" fillId="3" borderId="1" xfId="0" applyFont="fals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0" fillId="5"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5" fontId="0" fillId="5" borderId="1" xfId="0" applyFont="false" applyBorder="true" applyAlignment="false" applyProtection="false">
      <alignment horizontal="general" vertical="bottom" textRotation="0" wrapText="false" indent="0" shrinkToFit="false"/>
      <protection locked="true" hidden="false"/>
    </xf>
    <xf numFmtId="170" fontId="0" fillId="5" borderId="1" xfId="0" applyFont="false" applyBorder="true" applyAlignment="false" applyProtection="false">
      <alignment horizontal="general" vertical="bottom" textRotation="0" wrapText="false" indent="0" shrinkToFit="false"/>
      <protection locked="true" hidden="false"/>
    </xf>
    <xf numFmtId="167" fontId="0" fillId="5" borderId="1" xfId="0" applyFont="false" applyBorder="true" applyAlignment="false" applyProtection="false">
      <alignment horizontal="general" vertical="bottom" textRotation="0" wrapText="false" indent="0" shrinkToFit="false"/>
      <protection locked="true" hidden="false"/>
    </xf>
    <xf numFmtId="170" fontId="0" fillId="6"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5" borderId="1" xfId="0" applyFont="true" applyBorder="tru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F0F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26"/>
    <col collapsed="false" customWidth="true" hidden="false" outlineLevel="0" max="4" min="4" style="0" width="78"/>
    <col collapsed="false" customWidth="true" hidden="false" outlineLevel="0" max="5" min="5" style="0" width="14"/>
  </cols>
  <sheetData>
    <row r="1" customFormat="false" ht="18.7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c r="B5" s="4" t="s">
        <v>4</v>
      </c>
      <c r="C5" s="4" t="s">
        <v>5</v>
      </c>
      <c r="D5" s="4" t="s">
        <v>6</v>
      </c>
    </row>
    <row r="6" customFormat="false" ht="15" hidden="false" customHeight="false" outlineLevel="0" collapsed="false">
      <c r="A6" s="5" t="s">
        <v>7</v>
      </c>
      <c r="B6" s="6" t="n">
        <v>36</v>
      </c>
      <c r="C6" s="7" t="s">
        <v>8</v>
      </c>
      <c r="D6" s="2" t="s">
        <v>9</v>
      </c>
    </row>
    <row r="7" customFormat="false" ht="15" hidden="false" customHeight="false" outlineLevel="0" collapsed="false">
      <c r="A7" s="5" t="s">
        <v>10</v>
      </c>
      <c r="B7" s="6" t="n">
        <v>720</v>
      </c>
      <c r="C7" s="7" t="s">
        <v>11</v>
      </c>
      <c r="D7" s="2" t="s">
        <v>12</v>
      </c>
    </row>
    <row r="8" customFormat="false" ht="15" hidden="false" customHeight="false" outlineLevel="0" collapsed="false">
      <c r="A8" s="5" t="s">
        <v>13</v>
      </c>
      <c r="B8" s="8" t="n">
        <v>50000</v>
      </c>
      <c r="C8" s="7" t="s">
        <v>14</v>
      </c>
      <c r="D8" s="2" t="s">
        <v>15</v>
      </c>
    </row>
    <row r="9" customFormat="false" ht="15" hidden="false" customHeight="false" outlineLevel="0" collapsed="false">
      <c r="A9" s="5" t="s">
        <v>16</v>
      </c>
      <c r="B9" s="8" t="n">
        <v>25000</v>
      </c>
      <c r="C9" s="7" t="s">
        <v>17</v>
      </c>
      <c r="D9" s="2" t="s">
        <v>15</v>
      </c>
    </row>
    <row r="10" customFormat="false" ht="15" hidden="false" customHeight="false" outlineLevel="0" collapsed="false">
      <c r="A10" s="5" t="s">
        <v>18</v>
      </c>
      <c r="B10" s="6" t="n">
        <v>1440</v>
      </c>
      <c r="C10" s="7" t="s">
        <v>19</v>
      </c>
      <c r="D10" s="2" t="s">
        <v>15</v>
      </c>
    </row>
    <row r="11" customFormat="false" ht="15" hidden="false" customHeight="false" outlineLevel="0" collapsed="false">
      <c r="A11" s="5" t="s">
        <v>20</v>
      </c>
      <c r="B11" s="6" t="n">
        <v>4</v>
      </c>
      <c r="C11" s="7" t="s">
        <v>21</v>
      </c>
      <c r="D11" s="2" t="s">
        <v>22</v>
      </c>
    </row>
    <row r="12" customFormat="false" ht="15" hidden="false" customHeight="false" outlineLevel="0" collapsed="false">
      <c r="A12" s="5" t="s">
        <v>23</v>
      </c>
      <c r="B12" s="8" t="n">
        <v>20000</v>
      </c>
      <c r="C12" s="7" t="s">
        <v>14</v>
      </c>
      <c r="D12" s="2" t="s">
        <v>15</v>
      </c>
    </row>
    <row r="13" customFormat="false" ht="15" hidden="false" customHeight="false" outlineLevel="0" collapsed="false">
      <c r="A13" s="5" t="s">
        <v>24</v>
      </c>
      <c r="B13" s="6" t="n">
        <v>64</v>
      </c>
      <c r="C13" s="7" t="s">
        <v>25</v>
      </c>
      <c r="D13" s="2" t="s">
        <v>26</v>
      </c>
    </row>
    <row r="15" customFormat="false" ht="15" hidden="false" customHeight="false" outlineLevel="0" collapsed="false">
      <c r="A15" s="3" t="s">
        <v>27</v>
      </c>
    </row>
    <row r="16" customFormat="false" ht="15" hidden="false" customHeight="false" outlineLevel="0" collapsed="false">
      <c r="A16" s="4" t="s">
        <v>3</v>
      </c>
      <c r="B16" s="4" t="s">
        <v>4</v>
      </c>
      <c r="C16" s="4" t="s">
        <v>5</v>
      </c>
      <c r="D16" s="4" t="s">
        <v>6</v>
      </c>
    </row>
    <row r="17" customFormat="false" ht="15" hidden="false" customHeight="false" outlineLevel="0" collapsed="false">
      <c r="A17" s="5" t="s">
        <v>28</v>
      </c>
      <c r="B17" s="9" t="n">
        <v>2.5</v>
      </c>
      <c r="C17" s="7" t="s">
        <v>29</v>
      </c>
      <c r="D17" s="2" t="s">
        <v>30</v>
      </c>
    </row>
    <row r="18" customFormat="false" ht="15" hidden="false" customHeight="false" outlineLevel="0" collapsed="false">
      <c r="A18" s="5" t="s">
        <v>31</v>
      </c>
      <c r="B18" s="10" t="n">
        <v>0.1</v>
      </c>
      <c r="C18" s="7" t="s">
        <v>32</v>
      </c>
      <c r="D18" s="2" t="s">
        <v>30</v>
      </c>
    </row>
    <row r="19" customFormat="false" ht="15" hidden="false" customHeight="false" outlineLevel="0" collapsed="false">
      <c r="A19" s="5" t="s">
        <v>33</v>
      </c>
      <c r="B19" s="8" t="n">
        <v>880</v>
      </c>
      <c r="C19" s="7" t="s">
        <v>34</v>
      </c>
      <c r="D19" s="2" t="s">
        <v>30</v>
      </c>
    </row>
    <row r="20" customFormat="false" ht="15" hidden="false" customHeight="false" outlineLevel="0" collapsed="false">
      <c r="A20" s="5" t="s">
        <v>35</v>
      </c>
      <c r="B20" s="8" t="n">
        <v>8800</v>
      </c>
      <c r="C20" s="7" t="s">
        <v>34</v>
      </c>
      <c r="D20" s="2" t="s">
        <v>30</v>
      </c>
    </row>
    <row r="21" customFormat="false" ht="15" hidden="false" customHeight="false" outlineLevel="0" collapsed="false">
      <c r="A21" s="5" t="s">
        <v>36</v>
      </c>
      <c r="B21" s="6" t="n">
        <v>20</v>
      </c>
      <c r="C21" s="7" t="s">
        <v>25</v>
      </c>
      <c r="D21" s="2" t="s">
        <v>30</v>
      </c>
    </row>
    <row r="22" customFormat="false" ht="15" hidden="false" customHeight="false" outlineLevel="0" collapsed="false">
      <c r="A22" s="5" t="s">
        <v>37</v>
      </c>
      <c r="B22" s="11" t="n">
        <f aca="false">5/6</f>
        <v>0.833333333333333</v>
      </c>
      <c r="C22" s="7" t="s">
        <v>29</v>
      </c>
      <c r="D22" s="2" t="s">
        <v>38</v>
      </c>
    </row>
    <row r="23" customFormat="false" ht="15" hidden="false" customHeight="false" outlineLevel="0" collapsed="false">
      <c r="A23" s="5" t="s">
        <v>39</v>
      </c>
      <c r="B23" s="10" t="n">
        <v>0.025</v>
      </c>
      <c r="C23" s="7" t="s">
        <v>32</v>
      </c>
      <c r="D23" s="2" t="s">
        <v>30</v>
      </c>
    </row>
    <row r="24" customFormat="false" ht="15" hidden="false" customHeight="false" outlineLevel="0" collapsed="false">
      <c r="A24" s="5" t="s">
        <v>40</v>
      </c>
      <c r="B24" s="8" t="n">
        <v>440</v>
      </c>
      <c r="C24" s="7" t="s">
        <v>34</v>
      </c>
      <c r="D24" s="2" t="s">
        <v>30</v>
      </c>
    </row>
    <row r="25" customFormat="false" ht="15" hidden="false" customHeight="false" outlineLevel="0" collapsed="false">
      <c r="A25" s="5" t="s">
        <v>41</v>
      </c>
      <c r="B25" s="8" t="n">
        <v>2094</v>
      </c>
      <c r="C25" s="7" t="s">
        <v>34</v>
      </c>
      <c r="D25" s="2" t="s">
        <v>30</v>
      </c>
    </row>
    <row r="26" customFormat="false" ht="15" hidden="false" customHeight="false" outlineLevel="0" collapsed="false">
      <c r="A26" s="5" t="s">
        <v>42</v>
      </c>
      <c r="B26" s="6" t="n">
        <v>20</v>
      </c>
      <c r="C26" s="7" t="s">
        <v>25</v>
      </c>
      <c r="D26" s="2" t="s">
        <v>30</v>
      </c>
    </row>
    <row r="27" customFormat="false" ht="15" hidden="false" customHeight="false" outlineLevel="0" collapsed="false">
      <c r="A27" s="5" t="s">
        <v>43</v>
      </c>
      <c r="B27" s="9" t="n">
        <v>1.25</v>
      </c>
      <c r="C27" s="7" t="s">
        <v>29</v>
      </c>
      <c r="D27" s="2" t="s">
        <v>30</v>
      </c>
    </row>
    <row r="28" customFormat="false" ht="15" hidden="false" customHeight="false" outlineLevel="0" collapsed="false">
      <c r="A28" s="5" t="s">
        <v>44</v>
      </c>
      <c r="B28" s="10" t="n">
        <v>0.0125</v>
      </c>
      <c r="C28" s="7" t="s">
        <v>32</v>
      </c>
      <c r="D28" s="2" t="s">
        <v>30</v>
      </c>
    </row>
    <row r="29" customFormat="false" ht="15" hidden="false" customHeight="false" outlineLevel="0" collapsed="false">
      <c r="A29" s="5" t="s">
        <v>45</v>
      </c>
      <c r="B29" s="8" t="n">
        <v>880</v>
      </c>
      <c r="C29" s="7" t="s">
        <v>34</v>
      </c>
      <c r="D29" s="2" t="s">
        <v>30</v>
      </c>
    </row>
    <row r="30" customFormat="false" ht="15" hidden="false" customHeight="false" outlineLevel="0" collapsed="false">
      <c r="A30" s="5" t="s">
        <v>46</v>
      </c>
      <c r="B30" s="8" t="n">
        <v>2700</v>
      </c>
      <c r="C30" s="7" t="s">
        <v>34</v>
      </c>
      <c r="D30" s="2" t="s">
        <v>30</v>
      </c>
    </row>
    <row r="31" customFormat="false" ht="15" hidden="false" customHeight="false" outlineLevel="0" collapsed="false">
      <c r="A31" s="5" t="s">
        <v>47</v>
      </c>
      <c r="B31" s="6" t="n">
        <v>30</v>
      </c>
      <c r="C31" s="7" t="s">
        <v>25</v>
      </c>
      <c r="D31" s="2" t="s">
        <v>30</v>
      </c>
    </row>
    <row r="33" customFormat="false" ht="15" hidden="false" customHeight="false" outlineLevel="0" collapsed="false">
      <c r="A33" s="3" t="s">
        <v>48</v>
      </c>
    </row>
    <row r="34" customFormat="false" ht="15" hidden="false" customHeight="false" outlineLevel="0" collapsed="false">
      <c r="A34" s="2" t="s">
        <v>49</v>
      </c>
    </row>
    <row r="35" customFormat="false" ht="15" hidden="false" customHeight="false" outlineLevel="0" collapsed="false">
      <c r="A35" s="4" t="s">
        <v>3</v>
      </c>
      <c r="B35" s="4" t="s">
        <v>4</v>
      </c>
      <c r="C35" s="4" t="s">
        <v>5</v>
      </c>
      <c r="D35" s="4" t="s">
        <v>50</v>
      </c>
      <c r="E35" s="4" t="s">
        <v>51</v>
      </c>
    </row>
    <row r="36" customFormat="false" ht="15" hidden="false" customHeight="false" outlineLevel="0" collapsed="false">
      <c r="A36" s="5" t="s">
        <v>52</v>
      </c>
      <c r="B36" s="12" t="n">
        <v>10</v>
      </c>
      <c r="C36" s="7" t="s">
        <v>53</v>
      </c>
      <c r="D36" s="13" t="n">
        <v>0</v>
      </c>
      <c r="E36" s="13" t="n">
        <f aca="false">TOM_CAP</f>
        <v>20</v>
      </c>
    </row>
    <row r="37" customFormat="false" ht="15" hidden="false" customHeight="false" outlineLevel="0" collapsed="false">
      <c r="A37" s="5" t="s">
        <v>54</v>
      </c>
      <c r="B37" s="12" t="n">
        <v>20</v>
      </c>
      <c r="C37" s="7" t="s">
        <v>53</v>
      </c>
      <c r="D37" s="13" t="n">
        <v>0</v>
      </c>
      <c r="E37" s="13" t="n">
        <f aca="false">CAR_CAP</f>
        <v>20</v>
      </c>
    </row>
    <row r="38" customFormat="false" ht="15" hidden="false" customHeight="false" outlineLevel="0" collapsed="false">
      <c r="A38" s="5" t="s">
        <v>55</v>
      </c>
      <c r="B38" s="12" t="n">
        <v>30</v>
      </c>
      <c r="C38" s="7" t="s">
        <v>53</v>
      </c>
      <c r="D38" s="13" t="n">
        <v>0</v>
      </c>
      <c r="E38" s="13" t="n">
        <f aca="false">MES_CAP</f>
        <v>30</v>
      </c>
    </row>
    <row r="40" customFormat="false" ht="15" hidden="false" customHeight="false" outlineLevel="0" collapsed="false">
      <c r="A40" s="3" t="s">
        <v>56</v>
      </c>
    </row>
    <row r="41" customFormat="false" ht="15" hidden="false" customHeight="false" outlineLevel="0" collapsed="false">
      <c r="A41" s="4" t="s">
        <v>3</v>
      </c>
      <c r="B41" s="4" t="s">
        <v>4</v>
      </c>
      <c r="C41" s="4" t="s">
        <v>5</v>
      </c>
      <c r="D41" s="4" t="s">
        <v>57</v>
      </c>
    </row>
    <row r="42" customFormat="false" ht="15" hidden="false" customHeight="false" outlineLevel="0" collapsed="false">
      <c r="A42" s="5" t="s">
        <v>58</v>
      </c>
      <c r="B42" s="14" t="n">
        <f aca="false">FARMER_SALARY/2/PERM_HOURS</f>
        <v>34.7222222222222</v>
      </c>
      <c r="C42" s="7" t="s">
        <v>59</v>
      </c>
      <c r="D42" s="2" t="s">
        <v>60</v>
      </c>
    </row>
    <row r="43" customFormat="false" ht="15" hidden="false" customHeight="false" outlineLevel="0" collapsed="false">
      <c r="A43" s="5" t="s">
        <v>61</v>
      </c>
      <c r="B43" s="14" t="n">
        <f aca="false">TEMP_WORKER_PAY/TEMP_WORKER_HRS</f>
        <v>17.3611111111111</v>
      </c>
      <c r="C43" s="7" t="s">
        <v>59</v>
      </c>
      <c r="D43" s="2"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832031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7"/>
    <col collapsed="false" customWidth="true" hidden="false" outlineLevel="0" max="5" min="4" style="0" width="14"/>
    <col collapsed="false" customWidth="true" hidden="false" outlineLevel="0" max="6" min="6" style="0" width="15"/>
    <col collapsed="false" customWidth="true" hidden="false" outlineLevel="0" max="7" min="7" style="0" width="14"/>
    <col collapsed="false" customWidth="true" hidden="false" outlineLevel="0" max="10" min="8" style="0" width="13"/>
    <col collapsed="false" customWidth="true" hidden="false" outlineLevel="0" max="11" min="11" style="0" width="9"/>
    <col collapsed="false" customWidth="true" hidden="false" outlineLevel="0" max="13" min="12" style="0" width="14"/>
  </cols>
  <sheetData>
    <row r="1" customFormat="false" ht="18.75" hidden="false" customHeight="true" outlineLevel="0" collapsed="false">
      <c r="A1" s="1" t="s">
        <v>63</v>
      </c>
    </row>
    <row r="2" customFormat="false" ht="15" hidden="false" customHeight="false" outlineLevel="0" collapsed="false">
      <c r="A2" s="2" t="s">
        <v>64</v>
      </c>
    </row>
    <row r="3" customFormat="false" ht="15" hidden="false" customHeight="false" outlineLevel="0" collapsed="false">
      <c r="A3" s="2" t="s">
        <v>65</v>
      </c>
    </row>
    <row r="5" customFormat="false" ht="15" hidden="false" customHeight="false" outlineLevel="0" collapsed="false">
      <c r="A5" s="3" t="s">
        <v>66</v>
      </c>
      <c r="L5" s="15" t="s">
        <v>67</v>
      </c>
    </row>
    <row r="6" customFormat="false" ht="15" hidden="false" customHeight="false" outlineLevel="0" collapsed="false">
      <c r="A6" s="4" t="s">
        <v>68</v>
      </c>
      <c r="B6" s="4" t="s">
        <v>69</v>
      </c>
      <c r="C6" s="4" t="s">
        <v>70</v>
      </c>
      <c r="D6" s="4" t="s">
        <v>71</v>
      </c>
      <c r="E6" s="4" t="s">
        <v>72</v>
      </c>
      <c r="F6" s="4" t="s">
        <v>73</v>
      </c>
      <c r="G6" s="4" t="s">
        <v>74</v>
      </c>
      <c r="H6" s="4" t="s">
        <v>75</v>
      </c>
      <c r="I6" s="4" t="s">
        <v>76</v>
      </c>
      <c r="J6" s="4" t="s">
        <v>77</v>
      </c>
      <c r="K6" s="4" t="s">
        <v>78</v>
      </c>
      <c r="L6" s="4" t="s">
        <v>79</v>
      </c>
      <c r="M6" s="4" t="s">
        <v>80</v>
      </c>
    </row>
    <row r="7" customFormat="false" ht="15" hidden="false" customHeight="false" outlineLevel="0" collapsed="false">
      <c r="A7" s="16" t="n">
        <v>0</v>
      </c>
      <c r="B7" s="17" t="n">
        <f aca="false">A7*TOM_HPB*WEEKS*(1+TOM_DIM)^A7</f>
        <v>0</v>
      </c>
      <c r="C7" s="18"/>
      <c r="D7" s="18"/>
      <c r="E7" s="18"/>
      <c r="F7" s="18"/>
      <c r="G7" s="18"/>
      <c r="H7" s="18"/>
      <c r="I7" s="18"/>
      <c r="J7" s="18"/>
      <c r="K7" s="18"/>
    </row>
    <row r="8" customFormat="false" ht="15" hidden="false" customHeight="false" outlineLevel="0" collapsed="false">
      <c r="A8" s="16" t="n">
        <v>1</v>
      </c>
      <c r="B8" s="17" t="n">
        <f aca="false">A8*TOM_HPB*WEEKS*(1+TOM_DIM)^A8</f>
        <v>99</v>
      </c>
      <c r="C8" s="17" t="n">
        <f aca="false">B8-B7</f>
        <v>99</v>
      </c>
      <c r="D8" s="17" t="n">
        <f aca="false">MAX(0,MIN(C8,PERM_HOURS-B7))</f>
        <v>99</v>
      </c>
      <c r="E8" s="17" t="n">
        <f aca="false">C8-D8</f>
        <v>0</v>
      </c>
      <c r="F8" s="19" t="n">
        <f aca="false">TOM_FERT</f>
        <v>880</v>
      </c>
      <c r="G8" s="19" t="n">
        <f aca="false">D8*PERM_RATE+E8*TEMP_RATE+F8</f>
        <v>4317.5</v>
      </c>
      <c r="H8" s="19" t="n">
        <f aca="false">TOM_PRICE</f>
        <v>8800</v>
      </c>
      <c r="I8" s="19" t="n">
        <f aca="false">H8-G8</f>
        <v>4482.5</v>
      </c>
      <c r="J8" s="20" t="str">
        <f aca="false">IF(COUNTIF($I$8:I8,"&lt;0")&gt;0,"Stop","Plant")</f>
        <v>Plant</v>
      </c>
      <c r="K8" s="21" t="n">
        <f aca="false">IF(A8&lt;2,0,IF(G8&lt;G7,1,0))</f>
        <v>0</v>
      </c>
      <c r="L8" s="19" t="n">
        <f aca="false">SUM($G$8:G8)</f>
        <v>4317.5</v>
      </c>
      <c r="M8" s="19" t="n">
        <f aca="false">L8/A8</f>
        <v>4317.5</v>
      </c>
    </row>
    <row r="9" customFormat="false" ht="15" hidden="false" customHeight="false" outlineLevel="0" collapsed="false">
      <c r="A9" s="16" t="n">
        <v>2</v>
      </c>
      <c r="B9" s="17" t="n">
        <f aca="false">A9*TOM_HPB*WEEKS*(1+TOM_DIM)^A9</f>
        <v>217.8</v>
      </c>
      <c r="C9" s="17" t="n">
        <f aca="false">B9-B8</f>
        <v>118.8</v>
      </c>
      <c r="D9" s="17" t="n">
        <f aca="false">MAX(0,MIN(C9,PERM_HOURS-B8))</f>
        <v>118.8</v>
      </c>
      <c r="E9" s="17" t="n">
        <f aca="false">C9-D9</f>
        <v>0</v>
      </c>
      <c r="F9" s="19" t="n">
        <f aca="false">TOM_FERT</f>
        <v>880</v>
      </c>
      <c r="G9" s="19" t="n">
        <f aca="false">D9*PERM_RATE+E9*TEMP_RATE+F9</f>
        <v>5005</v>
      </c>
      <c r="H9" s="19" t="n">
        <f aca="false">TOM_PRICE</f>
        <v>8800</v>
      </c>
      <c r="I9" s="19" t="n">
        <f aca="false">H9-G9</f>
        <v>3795</v>
      </c>
      <c r="J9" s="20" t="str">
        <f aca="false">IF(COUNTIF($I$8:I9,"&lt;0")&gt;0,"Stop","Plant")</f>
        <v>Plant</v>
      </c>
      <c r="K9" s="21" t="n">
        <f aca="false">IF(A9&lt;2,0,IF(G9&lt;G8,1,0))</f>
        <v>0</v>
      </c>
      <c r="L9" s="19" t="n">
        <f aca="false">SUM($G$8:G9)</f>
        <v>9322.5</v>
      </c>
      <c r="M9" s="19" t="n">
        <f aca="false">L9/A9</f>
        <v>4661.25</v>
      </c>
    </row>
    <row r="10" customFormat="false" ht="15" hidden="false" customHeight="false" outlineLevel="0" collapsed="false">
      <c r="A10" s="16" t="n">
        <v>3</v>
      </c>
      <c r="B10" s="17" t="n">
        <f aca="false">A10*TOM_HPB*WEEKS*(1+TOM_DIM)^A10</f>
        <v>359.37</v>
      </c>
      <c r="C10" s="17" t="n">
        <f aca="false">B10-B9</f>
        <v>141.57</v>
      </c>
      <c r="D10" s="17" t="n">
        <f aca="false">MAX(0,MIN(C10,PERM_HOURS-B9))</f>
        <v>141.57</v>
      </c>
      <c r="E10" s="17" t="n">
        <f aca="false">C10-D10</f>
        <v>0</v>
      </c>
      <c r="F10" s="19" t="n">
        <f aca="false">TOM_FERT</f>
        <v>880</v>
      </c>
      <c r="G10" s="19" t="n">
        <f aca="false">D10*PERM_RATE+E10*TEMP_RATE+F10</f>
        <v>5795.625</v>
      </c>
      <c r="H10" s="19" t="n">
        <f aca="false">TOM_PRICE</f>
        <v>8800</v>
      </c>
      <c r="I10" s="19" t="n">
        <f aca="false">H10-G10</f>
        <v>3004.375</v>
      </c>
      <c r="J10" s="20" t="str">
        <f aca="false">IF(COUNTIF($I$8:I10,"&lt;0")&gt;0,"Stop","Plant")</f>
        <v>Plant</v>
      </c>
      <c r="K10" s="21" t="n">
        <f aca="false">IF(A10&lt;2,0,IF(G10&lt;G9,1,0))</f>
        <v>0</v>
      </c>
      <c r="L10" s="19" t="n">
        <f aca="false">SUM($G$8:G10)</f>
        <v>15118.125</v>
      </c>
      <c r="M10" s="19" t="n">
        <f aca="false">L10/A10</f>
        <v>5039.375</v>
      </c>
    </row>
    <row r="11" customFormat="false" ht="15" hidden="false" customHeight="false" outlineLevel="0" collapsed="false">
      <c r="A11" s="16" t="n">
        <v>4</v>
      </c>
      <c r="B11" s="17" t="n">
        <f aca="false">A11*TOM_HPB*WEEKS*(1+TOM_DIM)^A11</f>
        <v>527.076</v>
      </c>
      <c r="C11" s="17" t="n">
        <f aca="false">B11-B10</f>
        <v>167.706</v>
      </c>
      <c r="D11" s="17" t="n">
        <f aca="false">MAX(0,MIN(C11,PERM_HOURS-B10))</f>
        <v>167.706</v>
      </c>
      <c r="E11" s="17" t="n">
        <f aca="false">C11-D11</f>
        <v>0</v>
      </c>
      <c r="F11" s="19" t="n">
        <f aca="false">TOM_FERT</f>
        <v>880</v>
      </c>
      <c r="G11" s="19" t="n">
        <f aca="false">D11*PERM_RATE+E11*TEMP_RATE+F11</f>
        <v>6703.125</v>
      </c>
      <c r="H11" s="19" t="n">
        <f aca="false">TOM_PRICE</f>
        <v>8800</v>
      </c>
      <c r="I11" s="19" t="n">
        <f aca="false">H11-G11</f>
        <v>2096.875</v>
      </c>
      <c r="J11" s="20" t="str">
        <f aca="false">IF(COUNTIF($I$8:I11,"&lt;0")&gt;0,"Stop","Plant")</f>
        <v>Plant</v>
      </c>
      <c r="K11" s="21" t="n">
        <f aca="false">IF(A11&lt;2,0,IF(G11&lt;G10,1,0))</f>
        <v>0</v>
      </c>
      <c r="L11" s="19" t="n">
        <f aca="false">SUM($G$8:G11)</f>
        <v>21821.25</v>
      </c>
      <c r="M11" s="19" t="n">
        <f aca="false">L11/A11</f>
        <v>5455.3125</v>
      </c>
    </row>
    <row r="12" customFormat="false" ht="15" hidden="false" customHeight="false" outlineLevel="0" collapsed="false">
      <c r="A12" s="16" t="n">
        <v>5</v>
      </c>
      <c r="B12" s="17" t="n">
        <f aca="false">A12*TOM_HPB*WEEKS*(1+TOM_DIM)^A12</f>
        <v>724.7295</v>
      </c>
      <c r="C12" s="17" t="n">
        <f aca="false">B12-B11</f>
        <v>197.6535</v>
      </c>
      <c r="D12" s="17" t="n">
        <f aca="false">MAX(0,MIN(C12,PERM_HOURS-B11))</f>
        <v>192.924</v>
      </c>
      <c r="E12" s="17" t="n">
        <f aca="false">C12-D12</f>
        <v>4.72950000000026</v>
      </c>
      <c r="F12" s="19" t="n">
        <f aca="false">TOM_FERT</f>
        <v>880</v>
      </c>
      <c r="G12" s="19" t="n">
        <f aca="false">D12*PERM_RATE+E12*TEMP_RATE+F12</f>
        <v>7660.859375</v>
      </c>
      <c r="H12" s="19" t="n">
        <f aca="false">TOM_PRICE</f>
        <v>8800</v>
      </c>
      <c r="I12" s="19" t="n">
        <f aca="false">H12-G12</f>
        <v>1139.140625</v>
      </c>
      <c r="J12" s="20" t="str">
        <f aca="false">IF(COUNTIF($I$8:I12,"&lt;0")&gt;0,"Stop","Plant")</f>
        <v>Plant</v>
      </c>
      <c r="K12" s="21" t="n">
        <f aca="false">IF(A12&lt;2,0,IF(G12&lt;G11,1,0))</f>
        <v>0</v>
      </c>
      <c r="L12" s="19" t="n">
        <f aca="false">SUM($G$8:G12)</f>
        <v>29482.109375</v>
      </c>
      <c r="M12" s="19" t="n">
        <f aca="false">L12/A12</f>
        <v>5896.421875</v>
      </c>
    </row>
    <row r="13" customFormat="false" ht="15" hidden="false" customHeight="false" outlineLevel="0" collapsed="false">
      <c r="A13" s="16" t="n">
        <v>6</v>
      </c>
      <c r="B13" s="17" t="n">
        <f aca="false">A13*TOM_HPB*WEEKS*(1+TOM_DIM)^A13</f>
        <v>956.64294</v>
      </c>
      <c r="C13" s="17" t="n">
        <f aca="false">B13-B12</f>
        <v>231.91344</v>
      </c>
      <c r="D13" s="17" t="n">
        <f aca="false">MAX(0,MIN(C13,PERM_HOURS-B12))</f>
        <v>0</v>
      </c>
      <c r="E13" s="17" t="n">
        <f aca="false">C13-D13</f>
        <v>231.91344</v>
      </c>
      <c r="F13" s="19" t="n">
        <f aca="false">TOM_FERT</f>
        <v>880</v>
      </c>
      <c r="G13" s="19" t="n">
        <f aca="false">D13*PERM_RATE+E13*TEMP_RATE+F13</f>
        <v>4906.275</v>
      </c>
      <c r="H13" s="19" t="n">
        <f aca="false">TOM_PRICE</f>
        <v>8800</v>
      </c>
      <c r="I13" s="19" t="n">
        <f aca="false">H13-G13</f>
        <v>3893.725</v>
      </c>
      <c r="J13" s="20" t="str">
        <f aca="false">IF(COUNTIF($I$8:I13,"&lt;0")&gt;0,"Stop","Plant")</f>
        <v>Plant</v>
      </c>
      <c r="K13" s="21" t="n">
        <f aca="false">IF(A13&lt;2,0,IF(G13&lt;G12,1,0))</f>
        <v>1</v>
      </c>
      <c r="L13" s="19" t="n">
        <f aca="false">SUM($G$8:G13)</f>
        <v>34388.384375</v>
      </c>
      <c r="M13" s="19" t="n">
        <f aca="false">L13/A13</f>
        <v>5731.39739583333</v>
      </c>
    </row>
    <row r="14" customFormat="false" ht="15" hidden="false" customHeight="false" outlineLevel="0" collapsed="false">
      <c r="A14" s="16" t="n">
        <v>7</v>
      </c>
      <c r="B14" s="17" t="n">
        <f aca="false">A14*TOM_HPB*WEEKS*(1+TOM_DIM)^A14</f>
        <v>1227.691773</v>
      </c>
      <c r="C14" s="17" t="n">
        <f aca="false">B14-B13</f>
        <v>271.048833</v>
      </c>
      <c r="D14" s="17" t="n">
        <f aca="false">MAX(0,MIN(C14,PERM_HOURS-B13))</f>
        <v>0</v>
      </c>
      <c r="E14" s="17" t="n">
        <f aca="false">C14-D14</f>
        <v>271.048833</v>
      </c>
      <c r="F14" s="19" t="n">
        <f aca="false">TOM_FERT</f>
        <v>880</v>
      </c>
      <c r="G14" s="19" t="n">
        <f aca="false">D14*PERM_RATE+E14*TEMP_RATE+F14</f>
        <v>5585.70890625</v>
      </c>
      <c r="H14" s="19" t="n">
        <f aca="false">TOM_PRICE</f>
        <v>8800</v>
      </c>
      <c r="I14" s="19" t="n">
        <f aca="false">H14-G14</f>
        <v>3214.29109375</v>
      </c>
      <c r="J14" s="20" t="str">
        <f aca="false">IF(COUNTIF($I$8:I14,"&lt;0")&gt;0,"Stop","Plant")</f>
        <v>Plant</v>
      </c>
      <c r="K14" s="21" t="n">
        <f aca="false">IF(A14&lt;2,0,IF(G14&lt;G13,1,0))</f>
        <v>0</v>
      </c>
      <c r="L14" s="19" t="n">
        <f aca="false">SUM($G$8:G14)</f>
        <v>39974.09328125</v>
      </c>
      <c r="M14" s="19" t="n">
        <f aca="false">L14/A14</f>
        <v>5710.58475446429</v>
      </c>
    </row>
    <row r="15" customFormat="false" ht="15" hidden="false" customHeight="false" outlineLevel="0" collapsed="false">
      <c r="A15" s="16" t="n">
        <v>8</v>
      </c>
      <c r="B15" s="17" t="n">
        <f aca="false">A15*TOM_HPB*WEEKS*(1+TOM_DIM)^A15</f>
        <v>1543.3839432</v>
      </c>
      <c r="C15" s="17" t="n">
        <f aca="false">B15-B14</f>
        <v>315.6921702</v>
      </c>
      <c r="D15" s="17" t="n">
        <f aca="false">MAX(0,MIN(C15,PERM_HOURS-B14))</f>
        <v>0</v>
      </c>
      <c r="E15" s="17" t="n">
        <f aca="false">C15-D15</f>
        <v>315.6921702</v>
      </c>
      <c r="F15" s="19" t="n">
        <f aca="false">TOM_FERT</f>
        <v>880</v>
      </c>
      <c r="G15" s="19" t="n">
        <f aca="false">D15*PERM_RATE+E15*TEMP_RATE+F15</f>
        <v>6360.76684375001</v>
      </c>
      <c r="H15" s="19" t="n">
        <f aca="false">TOM_PRICE</f>
        <v>8800</v>
      </c>
      <c r="I15" s="19" t="n">
        <f aca="false">H15-G15</f>
        <v>2439.23315624999</v>
      </c>
      <c r="J15" s="20" t="str">
        <f aca="false">IF(COUNTIF($I$8:I15,"&lt;0")&gt;0,"Stop","Plant")</f>
        <v>Plant</v>
      </c>
      <c r="K15" s="21" t="n">
        <f aca="false">IF(A15&lt;2,0,IF(G15&lt;G14,1,0))</f>
        <v>0</v>
      </c>
      <c r="L15" s="19" t="n">
        <f aca="false">SUM($G$8:G15)</f>
        <v>46334.860125</v>
      </c>
      <c r="M15" s="19" t="n">
        <f aca="false">L15/A15</f>
        <v>5791.857515625</v>
      </c>
    </row>
    <row r="16" customFormat="false" ht="15" hidden="false" customHeight="false" outlineLevel="0" collapsed="false">
      <c r="A16" s="16" t="n">
        <v>9</v>
      </c>
      <c r="B16" s="17" t="n">
        <f aca="false">A16*TOM_HPB*WEEKS*(1+TOM_DIM)^A16</f>
        <v>1909.93762971</v>
      </c>
      <c r="C16" s="17" t="n">
        <f aca="false">B16-B15</f>
        <v>366.553686510001</v>
      </c>
      <c r="D16" s="17" t="n">
        <f aca="false">MAX(0,MIN(C16,PERM_HOURS-B15))</f>
        <v>0</v>
      </c>
      <c r="E16" s="17" t="n">
        <f aca="false">C16-D16</f>
        <v>366.553686510001</v>
      </c>
      <c r="F16" s="19" t="n">
        <f aca="false">TOM_FERT</f>
        <v>880</v>
      </c>
      <c r="G16" s="19" t="n">
        <f aca="false">D16*PERM_RATE+E16*TEMP_RATE+F16</f>
        <v>7243.77927968751</v>
      </c>
      <c r="H16" s="19" t="n">
        <f aca="false">TOM_PRICE</f>
        <v>8800</v>
      </c>
      <c r="I16" s="19" t="n">
        <f aca="false">H16-G16</f>
        <v>1556.22072031249</v>
      </c>
      <c r="J16" s="20" t="str">
        <f aca="false">IF(COUNTIF($I$8:I16,"&lt;0")&gt;0,"Stop","Plant")</f>
        <v>Plant</v>
      </c>
      <c r="K16" s="21" t="n">
        <f aca="false">IF(A16&lt;2,0,IF(G16&lt;G15,1,0))</f>
        <v>0</v>
      </c>
      <c r="L16" s="19" t="n">
        <f aca="false">SUM($G$8:G16)</f>
        <v>53578.6394046875</v>
      </c>
      <c r="M16" s="19" t="n">
        <f aca="false">L16/A16</f>
        <v>5953.18215607639</v>
      </c>
    </row>
    <row r="17" customFormat="false" ht="15" hidden="false" customHeight="false" outlineLevel="0" collapsed="false">
      <c r="A17" s="16" t="n">
        <v>10</v>
      </c>
      <c r="B17" s="17" t="n">
        <f aca="false">A17*TOM_HPB*WEEKS*(1+TOM_DIM)^A17</f>
        <v>2334.36821409</v>
      </c>
      <c r="C17" s="17" t="n">
        <f aca="false">B17-B16</f>
        <v>424.43058438</v>
      </c>
      <c r="D17" s="17" t="n">
        <f aca="false">MAX(0,MIN(C17,PERM_HOURS-B16))</f>
        <v>0</v>
      </c>
      <c r="E17" s="17" t="n">
        <f aca="false">C17-D17</f>
        <v>424.43058438</v>
      </c>
      <c r="F17" s="19" t="n">
        <f aca="false">TOM_FERT</f>
        <v>880</v>
      </c>
      <c r="G17" s="19" t="n">
        <f aca="false">D17*PERM_RATE+E17*TEMP_RATE+F17</f>
        <v>8248.58653437501</v>
      </c>
      <c r="H17" s="19" t="n">
        <f aca="false">TOM_PRICE</f>
        <v>8800</v>
      </c>
      <c r="I17" s="19" t="n">
        <f aca="false">H17-G17</f>
        <v>551.413465624995</v>
      </c>
      <c r="J17" s="20" t="str">
        <f aca="false">IF(COUNTIF($I$8:I17,"&lt;0")&gt;0,"Stop","Plant")</f>
        <v>Plant</v>
      </c>
      <c r="K17" s="21" t="n">
        <f aca="false">IF(A17&lt;2,0,IF(G17&lt;G16,1,0))</f>
        <v>0</v>
      </c>
      <c r="L17" s="19" t="n">
        <f aca="false">SUM($G$8:G17)</f>
        <v>61827.2259390625</v>
      </c>
      <c r="M17" s="19" t="n">
        <f aca="false">L17/A17</f>
        <v>6182.72259390625</v>
      </c>
    </row>
    <row r="18" customFormat="false" ht="15" hidden="false" customHeight="false" outlineLevel="0" collapsed="false">
      <c r="A18" s="16" t="n">
        <v>11</v>
      </c>
      <c r="B18" s="17" t="n">
        <f aca="false">A18*TOM_HPB*WEEKS*(1+TOM_DIM)^A18</f>
        <v>2824.5855390489</v>
      </c>
      <c r="C18" s="17" t="n">
        <f aca="false">B18-B17</f>
        <v>490.2173249589</v>
      </c>
      <c r="D18" s="17" t="n">
        <f aca="false">MAX(0,MIN(C18,PERM_HOURS-B17))</f>
        <v>0</v>
      </c>
      <c r="E18" s="17" t="n">
        <f aca="false">C18-D18</f>
        <v>490.2173249589</v>
      </c>
      <c r="F18" s="19" t="n">
        <f aca="false">TOM_FERT</f>
        <v>880</v>
      </c>
      <c r="G18" s="19" t="n">
        <f aca="false">D18*PERM_RATE+E18*TEMP_RATE+F18</f>
        <v>9390.71744720313</v>
      </c>
      <c r="H18" s="19" t="n">
        <f aca="false">TOM_PRICE</f>
        <v>8800</v>
      </c>
      <c r="I18" s="19" t="n">
        <f aca="false">H18-G18</f>
        <v>-590.717447203133</v>
      </c>
      <c r="J18" s="20" t="str">
        <f aca="false">IF(COUNTIF($I$8:I18,"&lt;0")&gt;0,"Stop","Plant")</f>
        <v>Stop</v>
      </c>
      <c r="K18" s="21" t="n">
        <f aca="false">IF(A18&lt;2,0,IF(G18&lt;G17,1,0))</f>
        <v>0</v>
      </c>
      <c r="L18" s="19" t="n">
        <f aca="false">SUM($G$8:G18)</f>
        <v>71217.9433862657</v>
      </c>
      <c r="M18" s="19" t="n">
        <f aca="false">L18/A18</f>
        <v>6474.35848966051</v>
      </c>
    </row>
    <row r="19" customFormat="false" ht="15" hidden="false" customHeight="false" outlineLevel="0" collapsed="false">
      <c r="A19" s="16" t="n">
        <v>12</v>
      </c>
      <c r="B19" s="17" t="n">
        <f aca="false">A19*TOM_HPB*WEEKS*(1+TOM_DIM)^A19</f>
        <v>3389.50264685868</v>
      </c>
      <c r="C19" s="17" t="n">
        <f aca="false">B19-B18</f>
        <v>564.917107809781</v>
      </c>
      <c r="D19" s="17" t="n">
        <f aca="false">MAX(0,MIN(C19,PERM_HOURS-B18))</f>
        <v>0</v>
      </c>
      <c r="E19" s="17" t="n">
        <f aca="false">C19-D19</f>
        <v>564.917107809781</v>
      </c>
      <c r="F19" s="19" t="n">
        <f aca="false">TOM_FERT</f>
        <v>880</v>
      </c>
      <c r="G19" s="19" t="n">
        <f aca="false">D19*PERM_RATE+E19*TEMP_RATE+F19</f>
        <v>10687.5886772531</v>
      </c>
      <c r="H19" s="19" t="n">
        <f aca="false">TOM_PRICE</f>
        <v>8800</v>
      </c>
      <c r="I19" s="19" t="n">
        <f aca="false">H19-G19</f>
        <v>-1887.58867725314</v>
      </c>
      <c r="J19" s="20" t="str">
        <f aca="false">IF(COUNTIF($I$8:I19,"&lt;0")&gt;0,"Stop","Plant")</f>
        <v>Stop</v>
      </c>
      <c r="K19" s="21" t="n">
        <f aca="false">IF(A19&lt;2,0,IF(G19&lt;G18,1,0))</f>
        <v>0</v>
      </c>
      <c r="L19" s="19" t="n">
        <f aca="false">SUM($G$8:G19)</f>
        <v>81905.5320635188</v>
      </c>
      <c r="M19" s="19" t="n">
        <f aca="false">L19/A19</f>
        <v>6825.46100529323</v>
      </c>
    </row>
    <row r="20" customFormat="false" ht="15" hidden="false" customHeight="false" outlineLevel="0" collapsed="false">
      <c r="A20" s="16" t="n">
        <v>13</v>
      </c>
      <c r="B20" s="17" t="n">
        <f aca="false">A20*TOM_HPB*WEEKS*(1+TOM_DIM)^A20</f>
        <v>4039.15732083993</v>
      </c>
      <c r="C20" s="17" t="n">
        <f aca="false">B20-B19</f>
        <v>649.654673981248</v>
      </c>
      <c r="D20" s="17" t="n">
        <f aca="false">MAX(0,MIN(C20,PERM_HOURS-B19))</f>
        <v>0</v>
      </c>
      <c r="E20" s="17" t="n">
        <f aca="false">C20-D20</f>
        <v>649.654673981248</v>
      </c>
      <c r="F20" s="19" t="n">
        <f aca="false">TOM_FERT</f>
        <v>880</v>
      </c>
      <c r="G20" s="19" t="n">
        <f aca="false">D20*PERM_RATE+E20*TEMP_RATE+F20</f>
        <v>12158.7269788411</v>
      </c>
      <c r="H20" s="19" t="n">
        <f aca="false">TOM_PRICE</f>
        <v>8800</v>
      </c>
      <c r="I20" s="19" t="n">
        <f aca="false">H20-G20</f>
        <v>-3358.72697884111</v>
      </c>
      <c r="J20" s="20" t="str">
        <f aca="false">IF(COUNTIF($I$8:I20,"&lt;0")&gt;0,"Stop","Plant")</f>
        <v>Stop</v>
      </c>
      <c r="K20" s="21" t="n">
        <f aca="false">IF(A20&lt;2,0,IF(G20&lt;G19,1,0))</f>
        <v>0</v>
      </c>
      <c r="L20" s="19" t="n">
        <f aca="false">SUM($G$8:G20)</f>
        <v>94064.2590423599</v>
      </c>
      <c r="M20" s="19" t="n">
        <f aca="false">L20/A20</f>
        <v>7235.71223402769</v>
      </c>
    </row>
    <row r="21" customFormat="false" ht="15" hidden="false" customHeight="false" outlineLevel="0" collapsed="false">
      <c r="A21" s="16" t="n">
        <v>14</v>
      </c>
      <c r="B21" s="17" t="n">
        <f aca="false">A21*TOM_HPB*WEEKS*(1+TOM_DIM)^A21</f>
        <v>4784.84790314884</v>
      </c>
      <c r="C21" s="17" t="n">
        <f aca="false">B21-B20</f>
        <v>745.690582308911</v>
      </c>
      <c r="D21" s="17" t="n">
        <f aca="false">MAX(0,MIN(C21,PERM_HOURS-B20))</f>
        <v>0</v>
      </c>
      <c r="E21" s="17" t="n">
        <f aca="false">C21-D21</f>
        <v>745.690582308911</v>
      </c>
      <c r="F21" s="19" t="n">
        <f aca="false">TOM_FERT</f>
        <v>880</v>
      </c>
      <c r="G21" s="19" t="n">
        <f aca="false">D21*PERM_RATE+E21*TEMP_RATE+F21</f>
        <v>13826.0170539741</v>
      </c>
      <c r="H21" s="19" t="n">
        <f aca="false">TOM_PRICE</f>
        <v>8800</v>
      </c>
      <c r="I21" s="19" t="n">
        <f aca="false">H21-G21</f>
        <v>-5026.01705397415</v>
      </c>
      <c r="J21" s="20" t="str">
        <f aca="false">IF(COUNTIF($I$8:I21,"&lt;0")&gt;0,"Stop","Plant")</f>
        <v>Stop</v>
      </c>
      <c r="K21" s="21" t="n">
        <f aca="false">IF(A21&lt;2,0,IF(G21&lt;G20,1,0))</f>
        <v>0</v>
      </c>
      <c r="L21" s="19" t="n">
        <f aca="false">SUM($G$8:G21)</f>
        <v>107890.276096334</v>
      </c>
      <c r="M21" s="19" t="n">
        <f aca="false">L21/A21</f>
        <v>7706.44829259529</v>
      </c>
    </row>
    <row r="22" customFormat="false" ht="15" hidden="false" customHeight="false" outlineLevel="0" collapsed="false">
      <c r="A22" s="16" t="n">
        <v>15</v>
      </c>
      <c r="B22" s="17" t="n">
        <f aca="false">A22*TOM_HPB*WEEKS*(1+TOM_DIM)^A22</f>
        <v>5639.28502871114</v>
      </c>
      <c r="C22" s="17" t="n">
        <f aca="false">B22-B21</f>
        <v>854.437125562294</v>
      </c>
      <c r="D22" s="17" t="n">
        <f aca="false">MAX(0,MIN(C22,PERM_HOURS-B21))</f>
        <v>0</v>
      </c>
      <c r="E22" s="17" t="n">
        <f aca="false">C22-D22</f>
        <v>854.437125562294</v>
      </c>
      <c r="F22" s="19" t="n">
        <f aca="false">TOM_FERT</f>
        <v>880</v>
      </c>
      <c r="G22" s="19" t="n">
        <f aca="false">D22*PERM_RATE+E22*TEMP_RATE+F22</f>
        <v>15713.9778743454</v>
      </c>
      <c r="H22" s="19" t="n">
        <f aca="false">TOM_PRICE</f>
        <v>8800</v>
      </c>
      <c r="I22" s="19" t="n">
        <f aca="false">H22-G22</f>
        <v>-6913.97787434538</v>
      </c>
      <c r="J22" s="20" t="str">
        <f aca="false">IF(COUNTIF($I$8:I22,"&lt;0")&gt;0,"Stop","Plant")</f>
        <v>Stop</v>
      </c>
      <c r="K22" s="21" t="n">
        <f aca="false">IF(A22&lt;2,0,IF(G22&lt;G21,1,0))</f>
        <v>0</v>
      </c>
      <c r="L22" s="19" t="n">
        <f aca="false">SUM($G$8:G22)</f>
        <v>123604.253970679</v>
      </c>
      <c r="M22" s="19" t="n">
        <f aca="false">L22/A22</f>
        <v>8240.2835980453</v>
      </c>
    </row>
    <row r="23" customFormat="false" ht="15" hidden="false" customHeight="false" outlineLevel="0" collapsed="false">
      <c r="A23" s="16" t="n">
        <v>16</v>
      </c>
      <c r="B23" s="17" t="n">
        <f aca="false">A23*TOM_HPB*WEEKS*(1+TOM_DIM)^A23</f>
        <v>6616.7611003544</v>
      </c>
      <c r="C23" s="17" t="n">
        <f aca="false">B23-B22</f>
        <v>977.476071643264</v>
      </c>
      <c r="D23" s="17" t="n">
        <f aca="false">MAX(0,MIN(C23,PERM_HOURS-B22))</f>
        <v>0</v>
      </c>
      <c r="E23" s="17" t="n">
        <f aca="false">C23-D23</f>
        <v>977.476071643264</v>
      </c>
      <c r="F23" s="19" t="n">
        <f aca="false">TOM_FERT</f>
        <v>880</v>
      </c>
      <c r="G23" s="19" t="n">
        <f aca="false">D23*PERM_RATE+E23*TEMP_RATE+F23</f>
        <v>17850.0706882511</v>
      </c>
      <c r="H23" s="19" t="n">
        <f aca="false">TOM_PRICE</f>
        <v>8800</v>
      </c>
      <c r="I23" s="19" t="n">
        <f aca="false">H23-G23</f>
        <v>-9050.07068825111</v>
      </c>
      <c r="J23" s="20" t="str">
        <f aca="false">IF(COUNTIF($I$8:I23,"&lt;0")&gt;0,"Stop","Plant")</f>
        <v>Stop</v>
      </c>
      <c r="K23" s="21" t="n">
        <f aca="false">IF(A23&lt;2,0,IF(G23&lt;G22,1,0))</f>
        <v>0</v>
      </c>
      <c r="L23" s="19" t="n">
        <f aca="false">SUM($G$8:G23)</f>
        <v>141454.324658931</v>
      </c>
      <c r="M23" s="19" t="n">
        <f aca="false">L23/A23</f>
        <v>8840.89529118316</v>
      </c>
    </row>
    <row r="24" customFormat="false" ht="15" hidden="false" customHeight="false" outlineLevel="0" collapsed="false">
      <c r="A24" s="16" t="n">
        <v>17</v>
      </c>
      <c r="B24" s="17" t="n">
        <f aca="false">A24*TOM_HPB*WEEKS*(1+TOM_DIM)^A24</f>
        <v>7733.33953603921</v>
      </c>
      <c r="C24" s="17" t="n">
        <f aca="false">B24-B23</f>
        <v>1116.57843568481</v>
      </c>
      <c r="D24" s="17" t="n">
        <f aca="false">MAX(0,MIN(C24,PERM_HOURS-B23))</f>
        <v>0</v>
      </c>
      <c r="E24" s="17" t="n">
        <f aca="false">C24-D24</f>
        <v>1116.57843568481</v>
      </c>
      <c r="F24" s="19" t="n">
        <f aca="false">TOM_FERT</f>
        <v>880</v>
      </c>
      <c r="G24" s="19" t="n">
        <f aca="false">D24*PERM_RATE+E24*TEMP_RATE+F24</f>
        <v>20265.0422861946</v>
      </c>
      <c r="H24" s="19" t="n">
        <f aca="false">TOM_PRICE</f>
        <v>8800</v>
      </c>
      <c r="I24" s="19" t="n">
        <f aca="false">H24-G24</f>
        <v>-11465.0422861946</v>
      </c>
      <c r="J24" s="20" t="str">
        <f aca="false">IF(COUNTIF($I$8:I24,"&lt;0")&gt;0,"Stop","Plant")</f>
        <v>Stop</v>
      </c>
      <c r="K24" s="21" t="n">
        <f aca="false">IF(A24&lt;2,0,IF(G24&lt;G23,1,0))</f>
        <v>0</v>
      </c>
      <c r="L24" s="19" t="n">
        <f aca="false">SUM($G$8:G24)</f>
        <v>161719.366945125</v>
      </c>
      <c r="M24" s="19" t="n">
        <f aca="false">L24/A24</f>
        <v>9512.90393794853</v>
      </c>
    </row>
    <row r="25" customFormat="false" ht="15" hidden="false" customHeight="false" outlineLevel="0" collapsed="false">
      <c r="A25" s="16" t="n">
        <v>18</v>
      </c>
      <c r="B25" s="17" t="n">
        <f aca="false">A25*TOM_HPB*WEEKS*(1+TOM_DIM)^A25</f>
        <v>9007.06604785743</v>
      </c>
      <c r="C25" s="17" t="n">
        <f aca="false">B25-B24</f>
        <v>1273.72651181822</v>
      </c>
      <c r="D25" s="17" t="n">
        <f aca="false">MAX(0,MIN(C25,PERM_HOURS-B24))</f>
        <v>0</v>
      </c>
      <c r="E25" s="17" t="n">
        <f aca="false">C25-D25</f>
        <v>1273.72651181822</v>
      </c>
      <c r="F25" s="19" t="n">
        <f aca="false">TOM_FERT</f>
        <v>880</v>
      </c>
      <c r="G25" s="19" t="n">
        <f aca="false">D25*PERM_RATE+E25*TEMP_RATE+F25</f>
        <v>22993.3074968441</v>
      </c>
      <c r="H25" s="19" t="n">
        <f aca="false">TOM_PRICE</f>
        <v>8800</v>
      </c>
      <c r="I25" s="19" t="n">
        <f aca="false">H25-G25</f>
        <v>-14193.3074968441</v>
      </c>
      <c r="J25" s="20" t="str">
        <f aca="false">IF(COUNTIF($I$8:I25,"&lt;0")&gt;0,"Stop","Plant")</f>
        <v>Stop</v>
      </c>
      <c r="K25" s="21" t="n">
        <f aca="false">IF(A25&lt;2,0,IF(G25&lt;G24,1,0))</f>
        <v>0</v>
      </c>
      <c r="L25" s="19" t="n">
        <f aca="false">SUM($G$8:G25)</f>
        <v>184712.674441969</v>
      </c>
      <c r="M25" s="19" t="n">
        <f aca="false">L25/A25</f>
        <v>10261.8152467761</v>
      </c>
    </row>
    <row r="26" customFormat="false" ht="15" hidden="false" customHeight="false" outlineLevel="0" collapsed="false">
      <c r="A26" s="16" t="n">
        <v>19</v>
      </c>
      <c r="B26" s="17" t="n">
        <f aca="false">A26*TOM_HPB*WEEKS*(1+TOM_DIM)^A26</f>
        <v>10458.2044666789</v>
      </c>
      <c r="C26" s="17" t="n">
        <f aca="false">B26-B25</f>
        <v>1451.13841882148</v>
      </c>
      <c r="D26" s="17" t="n">
        <f aca="false">MAX(0,MIN(C26,PERM_HOURS-B25))</f>
        <v>0</v>
      </c>
      <c r="E26" s="17" t="n">
        <f aca="false">C26-D26</f>
        <v>1451.13841882148</v>
      </c>
      <c r="F26" s="19" t="n">
        <f aca="false">TOM_FERT</f>
        <v>880</v>
      </c>
      <c r="G26" s="19" t="n">
        <f aca="false">D26*PERM_RATE+E26*TEMP_RATE+F26</f>
        <v>26073.3753267617</v>
      </c>
      <c r="H26" s="19" t="n">
        <f aca="false">TOM_PRICE</f>
        <v>8800</v>
      </c>
      <c r="I26" s="19" t="n">
        <f aca="false">H26-G26</f>
        <v>-17273.3753267617</v>
      </c>
      <c r="J26" s="20" t="str">
        <f aca="false">IF(COUNTIF($I$8:I26,"&lt;0")&gt;0,"Stop","Plant")</f>
        <v>Stop</v>
      </c>
      <c r="K26" s="21" t="n">
        <f aca="false">IF(A26&lt;2,0,IF(G26&lt;G25,1,0))</f>
        <v>0</v>
      </c>
      <c r="L26" s="19" t="n">
        <f aca="false">SUM($G$8:G26)</f>
        <v>210786.049768731</v>
      </c>
      <c r="M26" s="19" t="n">
        <f aca="false">L26/A26</f>
        <v>11094.0026194069</v>
      </c>
    </row>
    <row r="27" customFormat="false" ht="15" hidden="false" customHeight="false" outlineLevel="0" collapsed="false">
      <c r="A27" s="16" t="n">
        <v>20</v>
      </c>
      <c r="B27" s="17" t="n">
        <f aca="false">A27*TOM_HPB*WEEKS*(1+TOM_DIM)^A27</f>
        <v>12109.4999087861</v>
      </c>
      <c r="C27" s="17" t="n">
        <f aca="false">B27-B26</f>
        <v>1651.2954421072</v>
      </c>
      <c r="D27" s="17" t="n">
        <f aca="false">MAX(0,MIN(C27,PERM_HOURS-B26))</f>
        <v>0</v>
      </c>
      <c r="E27" s="17" t="n">
        <f aca="false">C27-D27</f>
        <v>1651.2954421072</v>
      </c>
      <c r="F27" s="19" t="n">
        <f aca="false">TOM_FERT</f>
        <v>880</v>
      </c>
      <c r="G27" s="19" t="n">
        <f aca="false">D27*PERM_RATE+E27*TEMP_RATE+F27</f>
        <v>29548.3236476944</v>
      </c>
      <c r="H27" s="19" t="n">
        <f aca="false">TOM_PRICE</f>
        <v>8800</v>
      </c>
      <c r="I27" s="19" t="n">
        <f aca="false">H27-G27</f>
        <v>-20748.3236476944</v>
      </c>
      <c r="J27" s="20" t="str">
        <f aca="false">IF(COUNTIF($I$8:I27,"&lt;0")&gt;0,"Stop","Plant")</f>
        <v>Stop</v>
      </c>
      <c r="K27" s="21" t="n">
        <f aca="false">IF(A27&lt;2,0,IF(G27&lt;G26,1,0))</f>
        <v>0</v>
      </c>
      <c r="L27" s="19" t="n">
        <f aca="false">SUM($G$8:G27)</f>
        <v>240334.373416425</v>
      </c>
      <c r="M27" s="19" t="n">
        <f aca="false">L27/A27</f>
        <v>12016.7186708213</v>
      </c>
    </row>
    <row r="30" customFormat="false" ht="15" hidden="false" customHeight="false" outlineLevel="0" collapsed="false">
      <c r="A30" s="3" t="s">
        <v>81</v>
      </c>
    </row>
    <row r="31" customFormat="false" ht="15" hidden="false" customHeight="false" outlineLevel="0" collapsed="false">
      <c r="A31" s="4" t="s">
        <v>68</v>
      </c>
      <c r="B31" s="4" t="s">
        <v>69</v>
      </c>
      <c r="C31" s="4" t="s">
        <v>70</v>
      </c>
      <c r="D31" s="4" t="s">
        <v>71</v>
      </c>
      <c r="E31" s="4" t="s">
        <v>72</v>
      </c>
      <c r="F31" s="4" t="s">
        <v>73</v>
      </c>
      <c r="G31" s="4" t="s">
        <v>74</v>
      </c>
      <c r="H31" s="4" t="s">
        <v>75</v>
      </c>
      <c r="I31" s="4" t="s">
        <v>76</v>
      </c>
      <c r="J31" s="4" t="s">
        <v>77</v>
      </c>
      <c r="K31" s="4" t="s">
        <v>78</v>
      </c>
      <c r="L31" s="4" t="s">
        <v>79</v>
      </c>
      <c r="M31" s="4" t="s">
        <v>80</v>
      </c>
    </row>
    <row r="32" customFormat="false" ht="15" hidden="false" customHeight="false" outlineLevel="0" collapsed="false">
      <c r="A32" s="16" t="n">
        <v>0</v>
      </c>
      <c r="B32" s="17" t="n">
        <f aca="false">A32*CAR_HPB*WEEKS*(1+CAR_DIM)^A32</f>
        <v>0</v>
      </c>
      <c r="C32" s="18"/>
      <c r="D32" s="18"/>
      <c r="E32" s="18"/>
      <c r="F32" s="18"/>
      <c r="G32" s="18"/>
      <c r="H32" s="18"/>
      <c r="I32" s="18"/>
      <c r="J32" s="18"/>
      <c r="K32" s="18"/>
    </row>
    <row r="33" customFormat="false" ht="15" hidden="false" customHeight="false" outlineLevel="0" collapsed="false">
      <c r="A33" s="16" t="n">
        <v>1</v>
      </c>
      <c r="B33" s="17" t="n">
        <f aca="false">A33*CAR_HPB*WEEKS*(1+CAR_DIM)^A33</f>
        <v>30.75</v>
      </c>
      <c r="C33" s="17" t="n">
        <f aca="false">B33-B32</f>
        <v>30.75</v>
      </c>
      <c r="D33" s="17" t="n">
        <f aca="false">MAX(0,MIN(C33,PERM_HOURS-B32))</f>
        <v>30.75</v>
      </c>
      <c r="E33" s="17" t="n">
        <f aca="false">C33-D33</f>
        <v>0</v>
      </c>
      <c r="F33" s="19" t="n">
        <f aca="false">CAR_FERT</f>
        <v>440</v>
      </c>
      <c r="G33" s="19" t="n">
        <f aca="false">D33*PERM_RATE+E33*TEMP_RATE+F33</f>
        <v>1507.70833333333</v>
      </c>
      <c r="H33" s="19" t="n">
        <f aca="false">CAR_PRICE</f>
        <v>2094</v>
      </c>
      <c r="I33" s="19" t="n">
        <f aca="false">H33-G33</f>
        <v>586.291666666667</v>
      </c>
      <c r="J33" s="20" t="str">
        <f aca="false">IF(COUNTIF($I$33:I33,"&lt;0")&gt;0,"Stop","Plant")</f>
        <v>Plant</v>
      </c>
      <c r="K33" s="21" t="n">
        <f aca="false">IF(A33&lt;2,0,IF(G33&lt;G32,1,0))</f>
        <v>0</v>
      </c>
      <c r="L33" s="19" t="n">
        <f aca="false">SUM($G$33:G33)</f>
        <v>1507.70833333333</v>
      </c>
      <c r="M33" s="19" t="n">
        <f aca="false">L33/A33</f>
        <v>1507.70833333333</v>
      </c>
    </row>
    <row r="34" customFormat="false" ht="15" hidden="false" customHeight="false" outlineLevel="0" collapsed="false">
      <c r="A34" s="16" t="n">
        <v>2</v>
      </c>
      <c r="B34" s="17" t="n">
        <f aca="false">A34*CAR_HPB*WEEKS*(1+CAR_DIM)^A34</f>
        <v>63.0375</v>
      </c>
      <c r="C34" s="17" t="n">
        <f aca="false">B34-B33</f>
        <v>32.2875</v>
      </c>
      <c r="D34" s="17" t="n">
        <f aca="false">MAX(0,MIN(C34,PERM_HOURS-B33))</f>
        <v>32.2875</v>
      </c>
      <c r="E34" s="17" t="n">
        <f aca="false">C34-D34</f>
        <v>0</v>
      </c>
      <c r="F34" s="19" t="n">
        <f aca="false">CAR_FERT</f>
        <v>440</v>
      </c>
      <c r="G34" s="19" t="n">
        <f aca="false">D34*PERM_RATE+E34*TEMP_RATE+F34</f>
        <v>1561.09375</v>
      </c>
      <c r="H34" s="19" t="n">
        <f aca="false">CAR_PRICE</f>
        <v>2094</v>
      </c>
      <c r="I34" s="19" t="n">
        <f aca="false">H34-G34</f>
        <v>532.90625</v>
      </c>
      <c r="J34" s="20" t="str">
        <f aca="false">IF(COUNTIF($I$33:I34,"&lt;0")&gt;0,"Stop","Plant")</f>
        <v>Plant</v>
      </c>
      <c r="K34" s="21" t="n">
        <f aca="false">IF(A34&lt;2,0,IF(G34&lt;G33,1,0))</f>
        <v>0</v>
      </c>
      <c r="L34" s="19" t="n">
        <f aca="false">SUM($G$33:G34)</f>
        <v>3068.80208333333</v>
      </c>
      <c r="M34" s="19" t="n">
        <f aca="false">L34/A34</f>
        <v>1534.40104166667</v>
      </c>
    </row>
    <row r="35" customFormat="false" ht="15" hidden="false" customHeight="false" outlineLevel="0" collapsed="false">
      <c r="A35" s="16" t="n">
        <v>3</v>
      </c>
      <c r="B35" s="17" t="n">
        <f aca="false">A35*CAR_HPB*WEEKS*(1+CAR_DIM)^A35</f>
        <v>96.92015625</v>
      </c>
      <c r="C35" s="17" t="n">
        <f aca="false">B35-B34</f>
        <v>33.88265625</v>
      </c>
      <c r="D35" s="17" t="n">
        <f aca="false">MAX(0,MIN(C35,PERM_HOURS-B34))</f>
        <v>33.88265625</v>
      </c>
      <c r="E35" s="17" t="n">
        <f aca="false">C35-D35</f>
        <v>0</v>
      </c>
      <c r="F35" s="19" t="n">
        <f aca="false">CAR_FERT</f>
        <v>440</v>
      </c>
      <c r="G35" s="19" t="n">
        <f aca="false">D35*PERM_RATE+E35*TEMP_RATE+F35</f>
        <v>1616.48111979167</v>
      </c>
      <c r="H35" s="19" t="n">
        <f aca="false">CAR_PRICE</f>
        <v>2094</v>
      </c>
      <c r="I35" s="19" t="n">
        <f aca="false">H35-G35</f>
        <v>477.518880208334</v>
      </c>
      <c r="J35" s="20" t="str">
        <f aca="false">IF(COUNTIF($I$33:I35,"&lt;0")&gt;0,"Stop","Plant")</f>
        <v>Plant</v>
      </c>
      <c r="K35" s="21" t="n">
        <f aca="false">IF(A35&lt;2,0,IF(G35&lt;G34,1,0))</f>
        <v>0</v>
      </c>
      <c r="L35" s="19" t="n">
        <f aca="false">SUM($G$33:G35)</f>
        <v>4685.283203125</v>
      </c>
      <c r="M35" s="19" t="n">
        <f aca="false">L35/A35</f>
        <v>1561.76106770833</v>
      </c>
    </row>
    <row r="36" customFormat="false" ht="15" hidden="false" customHeight="false" outlineLevel="0" collapsed="false">
      <c r="A36" s="16" t="n">
        <v>4</v>
      </c>
      <c r="B36" s="17" t="n">
        <f aca="false">A36*CAR_HPB*WEEKS*(1+CAR_DIM)^A36</f>
        <v>132.457546875</v>
      </c>
      <c r="C36" s="17" t="n">
        <f aca="false">B36-B35</f>
        <v>35.537390625</v>
      </c>
      <c r="D36" s="17" t="n">
        <f aca="false">MAX(0,MIN(C36,PERM_HOURS-B35))</f>
        <v>35.537390625</v>
      </c>
      <c r="E36" s="17" t="n">
        <f aca="false">C36-D36</f>
        <v>0</v>
      </c>
      <c r="F36" s="19" t="n">
        <f aca="false">CAR_FERT</f>
        <v>440</v>
      </c>
      <c r="G36" s="19" t="n">
        <f aca="false">D36*PERM_RATE+E36*TEMP_RATE+F36</f>
        <v>1673.93717447917</v>
      </c>
      <c r="H36" s="19" t="n">
        <f aca="false">CAR_PRICE</f>
        <v>2094</v>
      </c>
      <c r="I36" s="19" t="n">
        <f aca="false">H36-G36</f>
        <v>420.062825520834</v>
      </c>
      <c r="J36" s="20" t="str">
        <f aca="false">IF(COUNTIF($I$33:I36,"&lt;0")&gt;0,"Stop","Plant")</f>
        <v>Plant</v>
      </c>
      <c r="K36" s="21" t="n">
        <f aca="false">IF(A36&lt;2,0,IF(G36&lt;G35,1,0))</f>
        <v>0</v>
      </c>
      <c r="L36" s="19" t="n">
        <f aca="false">SUM($G$33:G36)</f>
        <v>6359.22037760416</v>
      </c>
      <c r="M36" s="19" t="n">
        <f aca="false">L36/A36</f>
        <v>1589.80509440104</v>
      </c>
    </row>
    <row r="37" customFormat="false" ht="15" hidden="false" customHeight="false" outlineLevel="0" collapsed="false">
      <c r="A37" s="16" t="n">
        <v>5</v>
      </c>
      <c r="B37" s="17" t="n">
        <f aca="false">A37*CAR_HPB*WEEKS*(1+CAR_DIM)^A37</f>
        <v>169.711231933594</v>
      </c>
      <c r="C37" s="17" t="n">
        <f aca="false">B37-B36</f>
        <v>37.2536850585937</v>
      </c>
      <c r="D37" s="17" t="n">
        <f aca="false">MAX(0,MIN(C37,PERM_HOURS-B36))</f>
        <v>37.2536850585937</v>
      </c>
      <c r="E37" s="17" t="n">
        <f aca="false">C37-D37</f>
        <v>0</v>
      </c>
      <c r="F37" s="19" t="n">
        <f aca="false">CAR_FERT</f>
        <v>440</v>
      </c>
      <c r="G37" s="19" t="n">
        <f aca="false">D37*PERM_RATE+E37*TEMP_RATE+F37</f>
        <v>1733.53073120117</v>
      </c>
      <c r="H37" s="19" t="n">
        <f aca="false">CAR_PRICE</f>
        <v>2094</v>
      </c>
      <c r="I37" s="19" t="n">
        <f aca="false">H37-G37</f>
        <v>360.469268798829</v>
      </c>
      <c r="J37" s="20" t="str">
        <f aca="false">IF(COUNTIF($I$33:I37,"&lt;0")&gt;0,"Stop","Plant")</f>
        <v>Plant</v>
      </c>
      <c r="K37" s="21" t="n">
        <f aca="false">IF(A37&lt;2,0,IF(G37&lt;G36,1,0))</f>
        <v>0</v>
      </c>
      <c r="L37" s="19" t="n">
        <f aca="false">SUM($G$33:G37)</f>
        <v>8092.75110880534</v>
      </c>
      <c r="M37" s="19" t="n">
        <f aca="false">L37/A37</f>
        <v>1618.55022176107</v>
      </c>
    </row>
    <row r="38" customFormat="false" ht="15" hidden="false" customHeight="false" outlineLevel="0" collapsed="false">
      <c r="A38" s="16" t="n">
        <v>6</v>
      </c>
      <c r="B38" s="17" t="n">
        <f aca="false">A38*CAR_HPB*WEEKS*(1+CAR_DIM)^A38</f>
        <v>208.74481527832</v>
      </c>
      <c r="C38" s="17" t="n">
        <f aca="false">B38-B37</f>
        <v>39.0335833447265</v>
      </c>
      <c r="D38" s="17" t="n">
        <f aca="false">MAX(0,MIN(C38,PERM_HOURS-B37))</f>
        <v>39.0335833447265</v>
      </c>
      <c r="E38" s="17" t="n">
        <f aca="false">C38-D38</f>
        <v>0</v>
      </c>
      <c r="F38" s="19" t="n">
        <f aca="false">CAR_FERT</f>
        <v>440</v>
      </c>
      <c r="G38" s="19" t="n">
        <f aca="false">D38*PERM_RATE+E38*TEMP_RATE+F38</f>
        <v>1795.33275502523</v>
      </c>
      <c r="H38" s="19" t="n">
        <f aca="false">CAR_PRICE</f>
        <v>2094</v>
      </c>
      <c r="I38" s="19" t="n">
        <f aca="false">H38-G38</f>
        <v>298.667244974773</v>
      </c>
      <c r="J38" s="20" t="str">
        <f aca="false">IF(COUNTIF($I$33:I38,"&lt;0")&gt;0,"Stop","Plant")</f>
        <v>Plant</v>
      </c>
      <c r="K38" s="21" t="n">
        <f aca="false">IF(A38&lt;2,0,IF(G38&lt;G37,1,0))</f>
        <v>0</v>
      </c>
      <c r="L38" s="19" t="n">
        <f aca="false">SUM($G$33:G38)</f>
        <v>9888.08386383056</v>
      </c>
      <c r="M38" s="19" t="n">
        <f aca="false">L38/A38</f>
        <v>1648.01397730509</v>
      </c>
    </row>
    <row r="39" customFormat="false" ht="15" hidden="false" customHeight="false" outlineLevel="0" collapsed="false">
      <c r="A39" s="16" t="n">
        <v>7</v>
      </c>
      <c r="B39" s="17" t="n">
        <f aca="false">A39*CAR_HPB*WEEKS*(1+CAR_DIM)^A39</f>
        <v>249.624008270325</v>
      </c>
      <c r="C39" s="17" t="n">
        <f aca="false">B39-B38</f>
        <v>40.8791929920044</v>
      </c>
      <c r="D39" s="17" t="n">
        <f aca="false">MAX(0,MIN(C39,PERM_HOURS-B38))</f>
        <v>40.8791929920044</v>
      </c>
      <c r="E39" s="17" t="n">
        <f aca="false">C39-D39</f>
        <v>0</v>
      </c>
      <c r="F39" s="19" t="n">
        <f aca="false">CAR_FERT</f>
        <v>440</v>
      </c>
      <c r="G39" s="19" t="n">
        <f aca="false">D39*PERM_RATE+E39*TEMP_RATE+F39</f>
        <v>1859.41642333349</v>
      </c>
      <c r="H39" s="19" t="n">
        <f aca="false">CAR_PRICE</f>
        <v>2094</v>
      </c>
      <c r="I39" s="19" t="n">
        <f aca="false">H39-G39</f>
        <v>234.583576666513</v>
      </c>
      <c r="J39" s="20" t="str">
        <f aca="false">IF(COUNTIF($I$33:I39,"&lt;0")&gt;0,"Stop","Plant")</f>
        <v>Plant</v>
      </c>
      <c r="K39" s="21" t="n">
        <f aca="false">IF(A39&lt;2,0,IF(G39&lt;G38,1,0))</f>
        <v>0</v>
      </c>
      <c r="L39" s="19" t="n">
        <f aca="false">SUM($G$33:G39)</f>
        <v>11747.5002871641</v>
      </c>
      <c r="M39" s="19" t="n">
        <f aca="false">L39/A39</f>
        <v>1678.21432673772</v>
      </c>
    </row>
    <row r="40" customFormat="false" ht="15" hidden="false" customHeight="false" outlineLevel="0" collapsed="false">
      <c r="A40" s="16" t="n">
        <v>8</v>
      </c>
      <c r="B40" s="17" t="n">
        <f aca="false">A40*CAR_HPB*WEEKS*(1+CAR_DIM)^A40</f>
        <v>292.41669540238</v>
      </c>
      <c r="C40" s="17" t="n">
        <f aca="false">B40-B39</f>
        <v>42.7926871320555</v>
      </c>
      <c r="D40" s="17" t="n">
        <f aca="false">MAX(0,MIN(C40,PERM_HOURS-B39))</f>
        <v>42.7926871320555</v>
      </c>
      <c r="E40" s="17" t="n">
        <f aca="false">C40-D40</f>
        <v>0</v>
      </c>
      <c r="F40" s="19" t="n">
        <f aca="false">CAR_FERT</f>
        <v>440</v>
      </c>
      <c r="G40" s="19" t="n">
        <f aca="false">D40*PERM_RATE+E40*TEMP_RATE+F40</f>
        <v>1925.85719208526</v>
      </c>
      <c r="H40" s="19" t="n">
        <f aca="false">CAR_PRICE</f>
        <v>2094</v>
      </c>
      <c r="I40" s="19" t="n">
        <f aca="false">H40-G40</f>
        <v>168.142807914739</v>
      </c>
      <c r="J40" s="20" t="str">
        <f aca="false">IF(COUNTIF($I$33:I40,"&lt;0")&gt;0,"Stop","Plant")</f>
        <v>Plant</v>
      </c>
      <c r="K40" s="21" t="n">
        <f aca="false">IF(A40&lt;2,0,IF(G40&lt;G39,1,0))</f>
        <v>0</v>
      </c>
      <c r="L40" s="19" t="n">
        <f aca="false">SUM($G$33:G40)</f>
        <v>13673.3574792493</v>
      </c>
      <c r="M40" s="19" t="n">
        <f aca="false">L40/A40</f>
        <v>1709.16968490616</v>
      </c>
    </row>
    <row r="41" customFormat="false" ht="15" hidden="false" customHeight="false" outlineLevel="0" collapsed="false">
      <c r="A41" s="16" t="n">
        <v>9</v>
      </c>
      <c r="B41" s="17" t="n">
        <f aca="false">A41*CAR_HPB*WEEKS*(1+CAR_DIM)^A41</f>
        <v>337.19300188587</v>
      </c>
      <c r="C41" s="17" t="n">
        <f aca="false">B41-B40</f>
        <v>44.7763064834895</v>
      </c>
      <c r="D41" s="17" t="n">
        <f aca="false">MAX(0,MIN(C41,PERM_HOURS-B40))</f>
        <v>44.7763064834895</v>
      </c>
      <c r="E41" s="17" t="n">
        <f aca="false">C41-D41</f>
        <v>0</v>
      </c>
      <c r="F41" s="19" t="n">
        <f aca="false">CAR_FERT</f>
        <v>440</v>
      </c>
      <c r="G41" s="19" t="n">
        <f aca="false">D41*PERM_RATE+E41*TEMP_RATE+F41</f>
        <v>1994.73286401005</v>
      </c>
      <c r="H41" s="19" t="n">
        <f aca="false">CAR_PRICE</f>
        <v>2094</v>
      </c>
      <c r="I41" s="19" t="n">
        <f aca="false">H41-G41</f>
        <v>99.2671359899491</v>
      </c>
      <c r="J41" s="20" t="str">
        <f aca="false">IF(COUNTIF($I$33:I41,"&lt;0")&gt;0,"Stop","Plant")</f>
        <v>Plant</v>
      </c>
      <c r="K41" s="21" t="n">
        <f aca="false">IF(A41&lt;2,0,IF(G41&lt;G40,1,0))</f>
        <v>0</v>
      </c>
      <c r="L41" s="19" t="n">
        <f aca="false">SUM($G$33:G41)</f>
        <v>15668.0903432594</v>
      </c>
      <c r="M41" s="19" t="n">
        <f aca="false">L41/A41</f>
        <v>1740.89892702882</v>
      </c>
    </row>
    <row r="42" customFormat="false" ht="15" hidden="false" customHeight="false" outlineLevel="0" collapsed="false">
      <c r="A42" s="16" t="n">
        <v>10</v>
      </c>
      <c r="B42" s="17" t="n">
        <f aca="false">A42*CAR_HPB*WEEKS*(1+CAR_DIM)^A42</f>
        <v>384.025363258907</v>
      </c>
      <c r="C42" s="17" t="n">
        <f aca="false">B42-B41</f>
        <v>46.8323613730374</v>
      </c>
      <c r="D42" s="17" t="n">
        <f aca="false">MAX(0,MIN(C42,PERM_HOURS-B41))</f>
        <v>46.8323613730374</v>
      </c>
      <c r="E42" s="17" t="n">
        <f aca="false">C42-D42</f>
        <v>0</v>
      </c>
      <c r="F42" s="19" t="n">
        <f aca="false">CAR_FERT</f>
        <v>440</v>
      </c>
      <c r="G42" s="19" t="n">
        <f aca="false">D42*PERM_RATE+E42*TEMP_RATE+F42</f>
        <v>2066.12365878602</v>
      </c>
      <c r="H42" s="19" t="n">
        <f aca="false">CAR_PRICE</f>
        <v>2094</v>
      </c>
      <c r="I42" s="19" t="n">
        <f aca="false">H42-G42</f>
        <v>27.8763412139779</v>
      </c>
      <c r="J42" s="20" t="str">
        <f aca="false">IF(COUNTIF($I$33:I42,"&lt;0")&gt;0,"Stop","Plant")</f>
        <v>Plant</v>
      </c>
      <c r="K42" s="21" t="n">
        <f aca="false">IF(A42&lt;2,0,IF(G42&lt;G41,1,0))</f>
        <v>0</v>
      </c>
      <c r="L42" s="19" t="n">
        <f aca="false">SUM($G$33:G42)</f>
        <v>17734.2140020454</v>
      </c>
      <c r="M42" s="19" t="n">
        <f aca="false">L42/A42</f>
        <v>1773.42140020454</v>
      </c>
    </row>
    <row r="43" customFormat="false" ht="15" hidden="false" customHeight="false" outlineLevel="0" collapsed="false">
      <c r="A43" s="16" t="n">
        <v>11</v>
      </c>
      <c r="B43" s="17" t="n">
        <f aca="false">A43*CAR_HPB*WEEKS*(1+CAR_DIM)^A43</f>
        <v>432.988597074418</v>
      </c>
      <c r="C43" s="17" t="n">
        <f aca="false">B43-B42</f>
        <v>48.9632338155107</v>
      </c>
      <c r="D43" s="17" t="n">
        <f aca="false">MAX(0,MIN(C43,PERM_HOURS-B42))</f>
        <v>48.9632338155107</v>
      </c>
      <c r="E43" s="17" t="n">
        <f aca="false">C43-D43</f>
        <v>0</v>
      </c>
      <c r="F43" s="19" t="n">
        <f aca="false">CAR_FERT</f>
        <v>440</v>
      </c>
      <c r="G43" s="19" t="n">
        <f aca="false">D43*PERM_RATE+E43*TEMP_RATE+F43</f>
        <v>2140.11228526079</v>
      </c>
      <c r="H43" s="19" t="n">
        <f aca="false">CAR_PRICE</f>
        <v>2094</v>
      </c>
      <c r="I43" s="19" t="n">
        <f aca="false">H43-G43</f>
        <v>-46.1122852607887</v>
      </c>
      <c r="J43" s="20" t="str">
        <f aca="false">IF(COUNTIF($I$33:I43,"&lt;0")&gt;0,"Stop","Plant")</f>
        <v>Stop</v>
      </c>
      <c r="K43" s="21" t="n">
        <f aca="false">IF(A43&lt;2,0,IF(G43&lt;G42,1,0))</f>
        <v>0</v>
      </c>
      <c r="L43" s="19" t="n">
        <f aca="false">SUM($G$33:G43)</f>
        <v>19874.3262873062</v>
      </c>
      <c r="M43" s="19" t="n">
        <f aca="false">L43/A43</f>
        <v>1806.75693520965</v>
      </c>
    </row>
    <row r="44" customFormat="false" ht="15" hidden="false" customHeight="false" outlineLevel="0" collapsed="false">
      <c r="A44" s="16" t="n">
        <v>12</v>
      </c>
      <c r="B44" s="17" t="n">
        <f aca="false">A44*CAR_HPB*WEEKS*(1+CAR_DIM)^A44</f>
        <v>484.159976728667</v>
      </c>
      <c r="C44" s="17" t="n">
        <f aca="false">B44-B43</f>
        <v>51.1713796542492</v>
      </c>
      <c r="D44" s="17" t="n">
        <f aca="false">MAX(0,MIN(C44,PERM_HOURS-B43))</f>
        <v>51.1713796542492</v>
      </c>
      <c r="E44" s="17" t="n">
        <f aca="false">C44-D44</f>
        <v>0</v>
      </c>
      <c r="F44" s="19" t="n">
        <f aca="false">CAR_FERT</f>
        <v>440</v>
      </c>
      <c r="G44" s="19" t="n">
        <f aca="false">D44*PERM_RATE+E44*TEMP_RATE+F44</f>
        <v>2216.78401577254</v>
      </c>
      <c r="H44" s="19" t="n">
        <f aca="false">CAR_PRICE</f>
        <v>2094</v>
      </c>
      <c r="I44" s="19" t="n">
        <f aca="false">H44-G44</f>
        <v>-122.784015772542</v>
      </c>
      <c r="J44" s="20" t="str">
        <f aca="false">IF(COUNTIF($I$33:I44,"&lt;0")&gt;0,"Stop","Plant")</f>
        <v>Stop</v>
      </c>
      <c r="K44" s="21" t="n">
        <f aca="false">IF(A44&lt;2,0,IF(G44&lt;G43,1,0))</f>
        <v>0</v>
      </c>
      <c r="L44" s="19" t="n">
        <f aca="false">SUM($G$33:G44)</f>
        <v>22091.1103030787</v>
      </c>
      <c r="M44" s="19" t="n">
        <f aca="false">L44/A44</f>
        <v>1840.92585858989</v>
      </c>
    </row>
    <row r="45" customFormat="false" ht="15" hidden="false" customHeight="false" outlineLevel="0" collapsed="false">
      <c r="A45" s="16" t="n">
        <v>13</v>
      </c>
      <c r="B45" s="17" t="n">
        <f aca="false">A45*CAR_HPB*WEEKS*(1+CAR_DIM)^A45</f>
        <v>537.619307492457</v>
      </c>
      <c r="C45" s="17" t="n">
        <f aca="false">B45-B44</f>
        <v>53.4593307637902</v>
      </c>
      <c r="D45" s="17" t="n">
        <f aca="false">MAX(0,MIN(C45,PERM_HOURS-B44))</f>
        <v>53.4593307637902</v>
      </c>
      <c r="E45" s="17" t="n">
        <f aca="false">C45-D45</f>
        <v>0</v>
      </c>
      <c r="F45" s="19" t="n">
        <f aca="false">CAR_FERT</f>
        <v>440</v>
      </c>
      <c r="G45" s="19" t="n">
        <f aca="false">D45*PERM_RATE+E45*TEMP_RATE+F45</f>
        <v>2296.2267626316</v>
      </c>
      <c r="H45" s="19" t="n">
        <f aca="false">CAR_PRICE</f>
        <v>2094</v>
      </c>
      <c r="I45" s="19" t="n">
        <f aca="false">H45-G45</f>
        <v>-202.226762631602</v>
      </c>
      <c r="J45" s="20" t="str">
        <f aca="false">IF(COUNTIF($I$33:I45,"&lt;0")&gt;0,"Stop","Plant")</f>
        <v>Stop</v>
      </c>
      <c r="K45" s="21" t="n">
        <f aca="false">IF(A45&lt;2,0,IF(G45&lt;G44,1,0))</f>
        <v>0</v>
      </c>
      <c r="L45" s="19" t="n">
        <f aca="false">SUM($G$33:G45)</f>
        <v>24387.3370657103</v>
      </c>
      <c r="M45" s="19" t="n">
        <f aca="false">L45/A45</f>
        <v>1875.94900505464</v>
      </c>
    </row>
    <row r="46" customFormat="false" ht="15" hidden="false" customHeight="false" outlineLevel="0" collapsed="false">
      <c r="A46" s="16" t="n">
        <v>14</v>
      </c>
      <c r="B46" s="17" t="n">
        <f aca="false">A46*CAR_HPB*WEEKS*(1+CAR_DIM)^A46</f>
        <v>593.449004808982</v>
      </c>
      <c r="C46" s="17" t="n">
        <f aca="false">B46-B45</f>
        <v>55.8296973165245</v>
      </c>
      <c r="D46" s="17" t="n">
        <f aca="false">MAX(0,MIN(C46,PERM_HOURS-B45))</f>
        <v>55.8296973165245</v>
      </c>
      <c r="E46" s="17" t="n">
        <f aca="false">C46-D46</f>
        <v>0</v>
      </c>
      <c r="F46" s="19" t="n">
        <f aca="false">CAR_FERT</f>
        <v>440</v>
      </c>
      <c r="G46" s="19" t="n">
        <f aca="false">D46*PERM_RATE+E46*TEMP_RATE+F46</f>
        <v>2378.53115682377</v>
      </c>
      <c r="H46" s="19" t="n">
        <f aca="false">CAR_PRICE</f>
        <v>2094</v>
      </c>
      <c r="I46" s="19" t="n">
        <f aca="false">H46-G46</f>
        <v>-284.531156823768</v>
      </c>
      <c r="J46" s="20" t="str">
        <f aca="false">IF(COUNTIF($I$33:I46,"&lt;0")&gt;0,"Stop","Plant")</f>
        <v>Stop</v>
      </c>
      <c r="K46" s="21" t="n">
        <f aca="false">IF(A46&lt;2,0,IF(G46&lt;G45,1,0))</f>
        <v>0</v>
      </c>
      <c r="L46" s="19" t="n">
        <f aca="false">SUM($G$33:G46)</f>
        <v>26765.8682225341</v>
      </c>
      <c r="M46" s="19" t="n">
        <f aca="false">L46/A46</f>
        <v>1911.84773018101</v>
      </c>
    </row>
    <row r="47" customFormat="false" ht="15" hidden="false" customHeight="false" outlineLevel="0" collapsed="false">
      <c r="A47" s="16" t="n">
        <v>15</v>
      </c>
      <c r="B47" s="17" t="n">
        <f aca="false">A47*CAR_HPB*WEEKS*(1+CAR_DIM)^A47</f>
        <v>651.734174924149</v>
      </c>
      <c r="C47" s="17" t="n">
        <f aca="false">B47-B46</f>
        <v>58.2851701151677</v>
      </c>
      <c r="D47" s="17" t="n">
        <f aca="false">MAX(0,MIN(C47,PERM_HOURS-B46))</f>
        <v>58.2851701151677</v>
      </c>
      <c r="E47" s="17" t="n">
        <f aca="false">C47-D47</f>
        <v>0</v>
      </c>
      <c r="F47" s="19" t="n">
        <f aca="false">CAR_FERT</f>
        <v>440</v>
      </c>
      <c r="G47" s="19" t="n">
        <f aca="false">D47*PERM_RATE+E47*TEMP_RATE+F47</f>
        <v>2463.79062899888</v>
      </c>
      <c r="H47" s="19" t="n">
        <f aca="false">CAR_PRICE</f>
        <v>2094</v>
      </c>
      <c r="I47" s="19" t="n">
        <f aca="false">H47-G47</f>
        <v>-369.790628998879</v>
      </c>
      <c r="J47" s="20" t="str">
        <f aca="false">IF(COUNTIF($I$33:I47,"&lt;0")&gt;0,"Stop","Plant")</f>
        <v>Stop</v>
      </c>
      <c r="K47" s="21" t="n">
        <f aca="false">IF(A47&lt;2,0,IF(G47&lt;G46,1,0))</f>
        <v>0</v>
      </c>
      <c r="L47" s="19" t="n">
        <f aca="false">SUM($G$33:G47)</f>
        <v>29229.658851533</v>
      </c>
      <c r="M47" s="19" t="n">
        <f aca="false">L47/A47</f>
        <v>1948.64392343553</v>
      </c>
    </row>
    <row r="48" customFormat="false" ht="15" hidden="false" customHeight="false" outlineLevel="0" collapsed="false">
      <c r="A48" s="16" t="n">
        <v>16</v>
      </c>
      <c r="B48" s="17" t="n">
        <f aca="false">A48*CAR_HPB*WEEKS*(1+CAR_DIM)^A48</f>
        <v>712.56269791707</v>
      </c>
      <c r="C48" s="17" t="n">
        <f aca="false">B48-B47</f>
        <v>60.8285229929205</v>
      </c>
      <c r="D48" s="17" t="n">
        <f aca="false">MAX(0,MIN(C48,PERM_HOURS-B47))</f>
        <v>60.8285229929205</v>
      </c>
      <c r="E48" s="17" t="n">
        <f aca="false">C48-D48</f>
        <v>0</v>
      </c>
      <c r="F48" s="19" t="n">
        <f aca="false">CAR_FERT</f>
        <v>440</v>
      </c>
      <c r="G48" s="19" t="n">
        <f aca="false">D48*PERM_RATE+E48*TEMP_RATE+F48</f>
        <v>2552.10149280974</v>
      </c>
      <c r="H48" s="19" t="n">
        <f aca="false">CAR_PRICE</f>
        <v>2094</v>
      </c>
      <c r="I48" s="19" t="n">
        <f aca="false">H48-G48</f>
        <v>-458.10149280974</v>
      </c>
      <c r="J48" s="20" t="str">
        <f aca="false">IF(COUNTIF($I$33:I48,"&lt;0")&gt;0,"Stop","Plant")</f>
        <v>Stop</v>
      </c>
      <c r="K48" s="21" t="n">
        <f aca="false">IF(A48&lt;2,0,IF(G48&lt;G47,1,0))</f>
        <v>0</v>
      </c>
      <c r="L48" s="19" t="n">
        <f aca="false">SUM($G$33:G48)</f>
        <v>31781.7603443427</v>
      </c>
      <c r="M48" s="19" t="n">
        <f aca="false">L48/A48</f>
        <v>1986.36002152142</v>
      </c>
    </row>
    <row r="49" customFormat="false" ht="15" hidden="false" customHeight="false" outlineLevel="0" collapsed="false">
      <c r="A49" s="16" t="n">
        <v>17</v>
      </c>
      <c r="B49" s="17" t="n">
        <f aca="false">A49*CAR_HPB*WEEKS*(1+CAR_DIM)^A49</f>
        <v>776.025313200309</v>
      </c>
      <c r="C49" s="17" t="n">
        <f aca="false">B49-B48</f>
        <v>63.4626152832391</v>
      </c>
      <c r="D49" s="17" t="n">
        <f aca="false">MAX(0,MIN(C49,PERM_HOURS-B48))</f>
        <v>7.43730208293016</v>
      </c>
      <c r="E49" s="17" t="n">
        <f aca="false">C49-D49</f>
        <v>56.0253132003089</v>
      </c>
      <c r="F49" s="19" t="n">
        <f aca="false">CAR_FERT</f>
        <v>440</v>
      </c>
      <c r="G49" s="19" t="n">
        <f aca="false">D49*PERM_RATE+E49*TEMP_RATE+F49</f>
        <v>1670.90134316266</v>
      </c>
      <c r="H49" s="19" t="n">
        <f aca="false">CAR_PRICE</f>
        <v>2094</v>
      </c>
      <c r="I49" s="19" t="n">
        <f aca="false">H49-G49</f>
        <v>423.09865683734</v>
      </c>
      <c r="J49" s="20" t="str">
        <f aca="false">IF(COUNTIF($I$33:I49,"&lt;0")&gt;0,"Stop","Plant")</f>
        <v>Stop</v>
      </c>
      <c r="K49" s="21" t="n">
        <f aca="false">IF(A49&lt;2,0,IF(G49&lt;G48,1,0))</f>
        <v>1</v>
      </c>
      <c r="L49" s="19" t="n">
        <f aca="false">SUM($G$33:G49)</f>
        <v>33452.6616875054</v>
      </c>
      <c r="M49" s="19" t="n">
        <f aca="false">L49/A49</f>
        <v>1967.80362867679</v>
      </c>
    </row>
    <row r="50" customFormat="false" ht="15" hidden="false" customHeight="false" outlineLevel="0" collapsed="false">
      <c r="A50" s="16" t="n">
        <v>18</v>
      </c>
      <c r="B50" s="17" t="n">
        <f aca="false">A50*CAR_HPB*WEEKS*(1+CAR_DIM)^A50</f>
        <v>842.215707561512</v>
      </c>
      <c r="C50" s="17" t="n">
        <f aca="false">B50-B49</f>
        <v>66.1903943612026</v>
      </c>
      <c r="D50" s="17" t="n">
        <f aca="false">MAX(0,MIN(C50,PERM_HOURS-B49))</f>
        <v>0</v>
      </c>
      <c r="E50" s="17" t="n">
        <f aca="false">C50-D50</f>
        <v>66.1903943612026</v>
      </c>
      <c r="F50" s="19" t="n">
        <f aca="false">CAR_FERT</f>
        <v>440</v>
      </c>
      <c r="G50" s="19" t="n">
        <f aca="false">D50*PERM_RATE+E50*TEMP_RATE+F50</f>
        <v>1589.1387909931</v>
      </c>
      <c r="H50" s="19" t="n">
        <f aca="false">CAR_PRICE</f>
        <v>2094</v>
      </c>
      <c r="I50" s="19" t="n">
        <f aca="false">H50-G50</f>
        <v>504.861209006899</v>
      </c>
      <c r="J50" s="20" t="str">
        <f aca="false">IF(COUNTIF($I$33:I50,"&lt;0")&gt;0,"Stop","Plant")</f>
        <v>Stop</v>
      </c>
      <c r="K50" s="21" t="n">
        <f aca="false">IF(A50&lt;2,0,IF(G50&lt;G49,1,0))</f>
        <v>1</v>
      </c>
      <c r="L50" s="19" t="n">
        <f aca="false">SUM($G$33:G50)</f>
        <v>35041.8004784985</v>
      </c>
      <c r="M50" s="19" t="n">
        <f aca="false">L50/A50</f>
        <v>1946.76669324991</v>
      </c>
    </row>
    <row r="51" customFormat="false" ht="15" hidden="false" customHeight="false" outlineLevel="0" collapsed="false">
      <c r="A51" s="16" t="n">
        <v>19</v>
      </c>
      <c r="B51" s="17" t="n">
        <f aca="false">A51*CAR_HPB*WEEKS*(1+CAR_DIM)^A51</f>
        <v>911.230605820024</v>
      </c>
      <c r="C51" s="17" t="n">
        <f aca="false">B51-B50</f>
        <v>69.0148982585126</v>
      </c>
      <c r="D51" s="17" t="n">
        <f aca="false">MAX(0,MIN(C51,PERM_HOURS-B50))</f>
        <v>0</v>
      </c>
      <c r="E51" s="17" t="n">
        <f aca="false">C51-D51</f>
        <v>69.0148982585126</v>
      </c>
      <c r="F51" s="19" t="n">
        <f aca="false">CAR_FERT</f>
        <v>440</v>
      </c>
      <c r="G51" s="19" t="n">
        <f aca="false">D51*PERM_RATE+E51*TEMP_RATE+F51</f>
        <v>1638.17531698807</v>
      </c>
      <c r="H51" s="19" t="n">
        <f aca="false">CAR_PRICE</f>
        <v>2094</v>
      </c>
      <c r="I51" s="19" t="n">
        <f aca="false">H51-G51</f>
        <v>455.824683011934</v>
      </c>
      <c r="J51" s="20" t="str">
        <f aca="false">IF(COUNTIF($I$33:I51,"&lt;0")&gt;0,"Stop","Plant")</f>
        <v>Stop</v>
      </c>
      <c r="K51" s="21" t="n">
        <f aca="false">IF(A51&lt;2,0,IF(G51&lt;G50,1,0))</f>
        <v>0</v>
      </c>
      <c r="L51" s="19" t="n">
        <f aca="false">SUM($G$33:G51)</f>
        <v>36679.9757954865</v>
      </c>
      <c r="M51" s="19" t="n">
        <f aca="false">L51/A51</f>
        <v>1930.52504186771</v>
      </c>
    </row>
    <row r="52" customFormat="false" ht="15" hidden="false" customHeight="false" outlineLevel="0" collapsed="false">
      <c r="A52" s="16" t="n">
        <v>20</v>
      </c>
      <c r="B52" s="17" t="n">
        <f aca="false">A52*CAR_HPB*WEEKS*(1+CAR_DIM)^A52</f>
        <v>983.169864174237</v>
      </c>
      <c r="C52" s="17" t="n">
        <f aca="false">B52-B51</f>
        <v>71.9392583542124</v>
      </c>
      <c r="D52" s="17" t="n">
        <f aca="false">MAX(0,MIN(C52,PERM_HOURS-B51))</f>
        <v>0</v>
      </c>
      <c r="E52" s="17" t="n">
        <f aca="false">C52-D52</f>
        <v>71.9392583542124</v>
      </c>
      <c r="F52" s="19" t="n">
        <f aca="false">CAR_FERT</f>
        <v>440</v>
      </c>
      <c r="G52" s="19" t="n">
        <f aca="false">D52*PERM_RATE+E52*TEMP_RATE+F52</f>
        <v>1688.94545753841</v>
      </c>
      <c r="H52" s="19" t="n">
        <f aca="false">CAR_PRICE</f>
        <v>2094</v>
      </c>
      <c r="I52" s="19" t="n">
        <f aca="false">H52-G52</f>
        <v>405.054542461591</v>
      </c>
      <c r="J52" s="20" t="str">
        <f aca="false">IF(COUNTIF($I$33:I52,"&lt;0")&gt;0,"Stop","Plant")</f>
        <v>Stop</v>
      </c>
      <c r="K52" s="21" t="n">
        <f aca="false">IF(A52&lt;2,0,IF(G52&lt;G51,1,0))</f>
        <v>0</v>
      </c>
      <c r="L52" s="19" t="n">
        <f aca="false">SUM($G$33:G52)</f>
        <v>38368.9212530249</v>
      </c>
      <c r="M52" s="19" t="n">
        <f aca="false">L52/A52</f>
        <v>1918.44606265125</v>
      </c>
    </row>
    <row r="53" customFormat="false" ht="15" hidden="false" customHeight="false" outlineLevel="0" collapsed="false">
      <c r="A53" s="22" t="n">
        <f aca="false">A52+1</f>
        <v>21</v>
      </c>
      <c r="B53" s="23" t="n">
        <f aca="false">A53*CAR_HPB*WEEKS*(1+CAR_DIM)^A53</f>
        <v>1058.13656631752</v>
      </c>
      <c r="C53" s="23" t="n">
        <f aca="false">B53-B52</f>
        <v>74.9667021432855</v>
      </c>
      <c r="D53" s="23" t="n">
        <f aca="false">MAX(0,MIN(C53,PERM_HOURS-B52))</f>
        <v>0</v>
      </c>
      <c r="E53" s="23" t="n">
        <f aca="false">C53-D53</f>
        <v>74.9667021432855</v>
      </c>
      <c r="F53" s="24" t="n">
        <f aca="false">CAR_FERT</f>
        <v>440</v>
      </c>
      <c r="G53" s="24" t="n">
        <f aca="false">D53*PERM_RATE+E53*TEMP_RATE+F53</f>
        <v>1741.50524554315</v>
      </c>
      <c r="H53" s="24" t="n">
        <f aca="false">CAR_PRICE</f>
        <v>2094</v>
      </c>
      <c r="I53" s="24" t="n">
        <f aca="false">H53-G53</f>
        <v>352.494754456849</v>
      </c>
      <c r="J53" s="25" t="s">
        <v>82</v>
      </c>
      <c r="K53" s="26" t="n">
        <f aca="false">IF(G53&lt;G52,1,0)</f>
        <v>0</v>
      </c>
      <c r="L53" s="24" t="n">
        <f aca="false">SUM($G$33:G53)</f>
        <v>40110.4264985681</v>
      </c>
      <c r="M53" s="24" t="n">
        <f aca="false">L53/A53</f>
        <v>1910.02030945562</v>
      </c>
      <c r="N53" s="15" t="s">
        <v>83</v>
      </c>
    </row>
    <row r="55" customFormat="false" ht="15" hidden="false" customHeight="false" outlineLevel="0" collapsed="false">
      <c r="A55" s="3" t="s">
        <v>84</v>
      </c>
    </row>
    <row r="56" customFormat="false" ht="15" hidden="false" customHeight="false" outlineLevel="0" collapsed="false">
      <c r="A56" s="4" t="s">
        <v>68</v>
      </c>
      <c r="B56" s="4" t="s">
        <v>69</v>
      </c>
      <c r="C56" s="4" t="s">
        <v>70</v>
      </c>
      <c r="D56" s="4" t="s">
        <v>71</v>
      </c>
      <c r="E56" s="4" t="s">
        <v>72</v>
      </c>
      <c r="F56" s="4" t="s">
        <v>73</v>
      </c>
      <c r="G56" s="4" t="s">
        <v>74</v>
      </c>
      <c r="H56" s="4" t="s">
        <v>75</v>
      </c>
      <c r="I56" s="4" t="s">
        <v>76</v>
      </c>
      <c r="J56" s="4" t="s">
        <v>77</v>
      </c>
      <c r="K56" s="4" t="s">
        <v>78</v>
      </c>
      <c r="L56" s="4" t="s">
        <v>79</v>
      </c>
      <c r="M56" s="4" t="s">
        <v>80</v>
      </c>
    </row>
    <row r="57" customFormat="false" ht="15" hidden="false" customHeight="false" outlineLevel="0" collapsed="false">
      <c r="A57" s="16" t="n">
        <v>0</v>
      </c>
      <c r="B57" s="17" t="n">
        <f aca="false">A57*MES_HPB*WEEKS*(1+MES_DIM)^A57</f>
        <v>0</v>
      </c>
      <c r="C57" s="18"/>
      <c r="D57" s="18"/>
      <c r="E57" s="18"/>
      <c r="F57" s="18"/>
      <c r="G57" s="18"/>
      <c r="H57" s="18"/>
      <c r="I57" s="18"/>
      <c r="J57" s="18"/>
      <c r="K57" s="18"/>
    </row>
    <row r="58" customFormat="false" ht="15" hidden="false" customHeight="false" outlineLevel="0" collapsed="false">
      <c r="A58" s="16" t="n">
        <v>1</v>
      </c>
      <c r="B58" s="17" t="n">
        <f aca="false">A58*MES_HPB*WEEKS*(1+MES_DIM)^A58</f>
        <v>45.5625</v>
      </c>
      <c r="C58" s="17" t="n">
        <f aca="false">B58-B57</f>
        <v>45.5625</v>
      </c>
      <c r="D58" s="17" t="n">
        <f aca="false">MAX(0,MIN(C58,PERM_HOURS-B57))</f>
        <v>45.5625</v>
      </c>
      <c r="E58" s="17" t="n">
        <f aca="false">C58-D58</f>
        <v>0</v>
      </c>
      <c r="F58" s="19" t="n">
        <f aca="false">MES_FERT</f>
        <v>880</v>
      </c>
      <c r="G58" s="19" t="n">
        <f aca="false">D58*PERM_RATE+E58*TEMP_RATE+F58</f>
        <v>2462.03125</v>
      </c>
      <c r="H58" s="19" t="n">
        <f aca="false">MES_PRICE</f>
        <v>2700</v>
      </c>
      <c r="I58" s="19" t="n">
        <f aca="false">H58-G58</f>
        <v>237.96875</v>
      </c>
      <c r="J58" s="20" t="str">
        <f aca="false">IF(COUNTIF($I$58:I58,"&lt;0")&gt;0,"Stop","Plant")</f>
        <v>Plant</v>
      </c>
      <c r="K58" s="21" t="n">
        <f aca="false">IF(A58&lt;2,0,IF(G58&lt;G57,1,0))</f>
        <v>0</v>
      </c>
      <c r="L58" s="19" t="n">
        <f aca="false">SUM($G$58:G58)</f>
        <v>2462.03125</v>
      </c>
      <c r="M58" s="19" t="n">
        <f aca="false">L58/A58</f>
        <v>2462.03125</v>
      </c>
    </row>
    <row r="59" customFormat="false" ht="15" hidden="false" customHeight="false" outlineLevel="0" collapsed="false">
      <c r="A59" s="16" t="n">
        <v>2</v>
      </c>
      <c r="B59" s="17" t="n">
        <f aca="false">A59*MES_HPB*WEEKS*(1+MES_DIM)^A59</f>
        <v>92.2640625</v>
      </c>
      <c r="C59" s="17" t="n">
        <f aca="false">B59-B58</f>
        <v>46.7015625</v>
      </c>
      <c r="D59" s="17" t="n">
        <f aca="false">MAX(0,MIN(C59,PERM_HOURS-B58))</f>
        <v>46.7015625</v>
      </c>
      <c r="E59" s="17" t="n">
        <f aca="false">C59-D59</f>
        <v>0</v>
      </c>
      <c r="F59" s="19" t="n">
        <f aca="false">MES_FERT</f>
        <v>880</v>
      </c>
      <c r="G59" s="19" t="n">
        <f aca="false">D59*PERM_RATE+E59*TEMP_RATE+F59</f>
        <v>2501.58203125</v>
      </c>
      <c r="H59" s="19" t="n">
        <f aca="false">MES_PRICE</f>
        <v>2700</v>
      </c>
      <c r="I59" s="19" t="n">
        <f aca="false">H59-G59</f>
        <v>198.41796875</v>
      </c>
      <c r="J59" s="20" t="str">
        <f aca="false">IF(COUNTIF($I$58:I59,"&lt;0")&gt;0,"Stop","Plant")</f>
        <v>Plant</v>
      </c>
      <c r="K59" s="21" t="n">
        <f aca="false">IF(A59&lt;2,0,IF(G59&lt;G58,1,0))</f>
        <v>0</v>
      </c>
      <c r="L59" s="19" t="n">
        <f aca="false">SUM($G$58:G59)</f>
        <v>4963.61328125</v>
      </c>
      <c r="M59" s="19" t="n">
        <f aca="false">L59/A59</f>
        <v>2481.806640625</v>
      </c>
    </row>
    <row r="60" customFormat="false" ht="15" hidden="false" customHeight="false" outlineLevel="0" collapsed="false">
      <c r="A60" s="16" t="n">
        <v>3</v>
      </c>
      <c r="B60" s="17" t="n">
        <f aca="false">A60*MES_HPB*WEEKS*(1+MES_DIM)^A60</f>
        <v>140.126044921875</v>
      </c>
      <c r="C60" s="17" t="n">
        <f aca="false">B60-B59</f>
        <v>47.861982421875</v>
      </c>
      <c r="D60" s="17" t="n">
        <f aca="false">MAX(0,MIN(C60,PERM_HOURS-B59))</f>
        <v>47.861982421875</v>
      </c>
      <c r="E60" s="17" t="n">
        <f aca="false">C60-D60</f>
        <v>0</v>
      </c>
      <c r="F60" s="19" t="n">
        <f aca="false">MES_FERT</f>
        <v>880</v>
      </c>
      <c r="G60" s="19" t="n">
        <f aca="false">D60*PERM_RATE+E60*TEMP_RATE+F60</f>
        <v>2541.87438964844</v>
      </c>
      <c r="H60" s="19" t="n">
        <f aca="false">MES_PRICE</f>
        <v>2700</v>
      </c>
      <c r="I60" s="19" t="n">
        <f aca="false">H60-G60</f>
        <v>158.125610351563</v>
      </c>
      <c r="J60" s="20" t="str">
        <f aca="false">IF(COUNTIF($I$58:I60,"&lt;0")&gt;0,"Stop","Plant")</f>
        <v>Plant</v>
      </c>
      <c r="K60" s="21" t="n">
        <f aca="false">IF(A60&lt;2,0,IF(G60&lt;G59,1,0))</f>
        <v>0</v>
      </c>
      <c r="L60" s="19" t="n">
        <f aca="false">SUM($G$58:G60)</f>
        <v>7505.48767089844</v>
      </c>
      <c r="M60" s="19" t="n">
        <f aca="false">L60/A60</f>
        <v>2501.82922363281</v>
      </c>
    </row>
    <row r="61" customFormat="false" ht="15" hidden="false" customHeight="false" outlineLevel="0" collapsed="false">
      <c r="A61" s="16" t="n">
        <v>4</v>
      </c>
      <c r="B61" s="17" t="n">
        <f aca="false">A61*MES_HPB*WEEKS*(1+MES_DIM)^A61</f>
        <v>189.170160644531</v>
      </c>
      <c r="C61" s="17" t="n">
        <f aca="false">B61-B60</f>
        <v>49.0441157226562</v>
      </c>
      <c r="D61" s="17" t="n">
        <f aca="false">MAX(0,MIN(C61,PERM_HOURS-B60))</f>
        <v>49.0441157226562</v>
      </c>
      <c r="E61" s="17" t="n">
        <f aca="false">C61-D61</f>
        <v>0</v>
      </c>
      <c r="F61" s="19" t="n">
        <f aca="false">MES_FERT</f>
        <v>880</v>
      </c>
      <c r="G61" s="19" t="n">
        <f aca="false">D61*PERM_RATE+E61*TEMP_RATE+F61</f>
        <v>2582.92068481445</v>
      </c>
      <c r="H61" s="19" t="n">
        <f aca="false">MES_PRICE</f>
        <v>2700</v>
      </c>
      <c r="I61" s="19" t="n">
        <f aca="false">H61-G61</f>
        <v>117.079315185548</v>
      </c>
      <c r="J61" s="20" t="str">
        <f aca="false">IF(COUNTIF($I$58:I61,"&lt;0")&gt;0,"Stop","Plant")</f>
        <v>Plant</v>
      </c>
      <c r="K61" s="21" t="n">
        <f aca="false">IF(A61&lt;2,0,IF(G61&lt;G60,1,0))</f>
        <v>0</v>
      </c>
      <c r="L61" s="19" t="n">
        <f aca="false">SUM($G$58:G61)</f>
        <v>10088.4083557129</v>
      </c>
      <c r="M61" s="19" t="n">
        <f aca="false">L61/A61</f>
        <v>2522.10208892822</v>
      </c>
    </row>
    <row r="62" customFormat="false" ht="15" hidden="false" customHeight="false" outlineLevel="0" collapsed="false">
      <c r="A62" s="16" t="n">
        <v>5</v>
      </c>
      <c r="B62" s="17" t="n">
        <f aca="false">A62*MES_HPB*WEEKS*(1+MES_DIM)^A62</f>
        <v>239.418484565735</v>
      </c>
      <c r="C62" s="17" t="n">
        <f aca="false">B62-B61</f>
        <v>50.2483239212036</v>
      </c>
      <c r="D62" s="17" t="n">
        <f aca="false">MAX(0,MIN(C62,PERM_HOURS-B61))</f>
        <v>50.2483239212036</v>
      </c>
      <c r="E62" s="17" t="n">
        <f aca="false">C62-D62</f>
        <v>0</v>
      </c>
      <c r="F62" s="19" t="n">
        <f aca="false">MES_FERT</f>
        <v>880</v>
      </c>
      <c r="G62" s="19" t="n">
        <f aca="false">D62*PERM_RATE+E62*TEMP_RATE+F62</f>
        <v>2624.73346948624</v>
      </c>
      <c r="H62" s="19" t="n">
        <f aca="false">MES_PRICE</f>
        <v>2700</v>
      </c>
      <c r="I62" s="19" t="n">
        <f aca="false">H62-G62</f>
        <v>75.2665305137634</v>
      </c>
      <c r="J62" s="20" t="str">
        <f aca="false">IF(COUNTIF($I$58:I62,"&lt;0")&gt;0,"Stop","Plant")</f>
        <v>Plant</v>
      </c>
      <c r="K62" s="21" t="n">
        <f aca="false">IF(A62&lt;2,0,IF(G62&lt;G61,1,0))</f>
        <v>0</v>
      </c>
      <c r="L62" s="19" t="n">
        <f aca="false">SUM($G$58:G62)</f>
        <v>12713.1418251991</v>
      </c>
      <c r="M62" s="19" t="n">
        <f aca="false">L62/A62</f>
        <v>2542.62836503983</v>
      </c>
    </row>
    <row r="63" customFormat="false" ht="15" hidden="false" customHeight="false" outlineLevel="0" collapsed="false">
      <c r="A63" s="16" t="n">
        <v>6</v>
      </c>
      <c r="B63" s="17" t="n">
        <f aca="false">A63*MES_HPB*WEEKS*(1+MES_DIM)^A63</f>
        <v>290.893458747368</v>
      </c>
      <c r="C63" s="17" t="n">
        <f aca="false">B63-B62</f>
        <v>51.4749741816329</v>
      </c>
      <c r="D63" s="17" t="n">
        <f aca="false">MAX(0,MIN(C63,PERM_HOURS-B62))</f>
        <v>51.4749741816329</v>
      </c>
      <c r="E63" s="17" t="n">
        <f aca="false">C63-D63</f>
        <v>0</v>
      </c>
      <c r="F63" s="19" t="n">
        <f aca="false">MES_FERT</f>
        <v>880</v>
      </c>
      <c r="G63" s="19" t="n">
        <f aca="false">D63*PERM_RATE+E63*TEMP_RATE+F63</f>
        <v>2667.32549241781</v>
      </c>
      <c r="H63" s="19" t="n">
        <f aca="false">MES_PRICE</f>
        <v>2700</v>
      </c>
      <c r="I63" s="19" t="n">
        <f aca="false">H63-G63</f>
        <v>32.6745075821905</v>
      </c>
      <c r="J63" s="20" t="str">
        <f aca="false">IF(COUNTIF($I$58:I63,"&lt;0")&gt;0,"Stop","Plant")</f>
        <v>Plant</v>
      </c>
      <c r="K63" s="21" t="n">
        <f aca="false">IF(A63&lt;2,0,IF(G63&lt;G62,1,0))</f>
        <v>0</v>
      </c>
      <c r="L63" s="19" t="n">
        <f aca="false">SUM($G$58:G63)</f>
        <v>15380.4673176169</v>
      </c>
      <c r="M63" s="19" t="n">
        <f aca="false">L63/A63</f>
        <v>2563.41121960282</v>
      </c>
    </row>
    <row r="64" customFormat="false" ht="15" hidden="false" customHeight="false" outlineLevel="0" collapsed="false">
      <c r="A64" s="16" t="n">
        <v>7</v>
      </c>
      <c r="B64" s="17" t="n">
        <f aca="false">A64*MES_HPB*WEEKS*(1+MES_DIM)^A64</f>
        <v>343.617898145328</v>
      </c>
      <c r="C64" s="17" t="n">
        <f aca="false">B64-B63</f>
        <v>52.7244393979605</v>
      </c>
      <c r="D64" s="17" t="n">
        <f aca="false">MAX(0,MIN(C64,PERM_HOURS-B63))</f>
        <v>52.7244393979605</v>
      </c>
      <c r="E64" s="17" t="n">
        <f aca="false">C64-D64</f>
        <v>0</v>
      </c>
      <c r="F64" s="19" t="n">
        <f aca="false">MES_FERT</f>
        <v>880</v>
      </c>
      <c r="G64" s="19" t="n">
        <f aca="false">D64*PERM_RATE+E64*TEMP_RATE+F64</f>
        <v>2710.70970131807</v>
      </c>
      <c r="H64" s="19" t="n">
        <f aca="false">MES_PRICE</f>
        <v>2700</v>
      </c>
      <c r="I64" s="19" t="n">
        <f aca="false">H64-G64</f>
        <v>-10.709701318071</v>
      </c>
      <c r="J64" s="20" t="str">
        <f aca="false">IF(COUNTIF($I$58:I64,"&lt;0")&gt;0,"Stop","Plant")</f>
        <v>Stop</v>
      </c>
      <c r="K64" s="21" t="n">
        <f aca="false">IF(A64&lt;2,0,IF(G64&lt;G63,1,0))</f>
        <v>0</v>
      </c>
      <c r="L64" s="19" t="n">
        <f aca="false">SUM($G$58:G64)</f>
        <v>18091.177018935</v>
      </c>
      <c r="M64" s="19" t="n">
        <f aca="false">L64/A64</f>
        <v>2584.45385984786</v>
      </c>
    </row>
    <row r="65" customFormat="false" ht="15" hidden="false" customHeight="false" outlineLevel="0" collapsed="false">
      <c r="A65" s="16" t="n">
        <v>8</v>
      </c>
      <c r="B65" s="17" t="n">
        <f aca="false">A65*MES_HPB*WEEKS*(1+MES_DIM)^A65</f>
        <v>397.614996425308</v>
      </c>
      <c r="C65" s="17" t="n">
        <f aca="false">B65-B64</f>
        <v>53.9970982799802</v>
      </c>
      <c r="D65" s="17" t="n">
        <f aca="false">MAX(0,MIN(C65,PERM_HOURS-B64))</f>
        <v>53.9970982799802</v>
      </c>
      <c r="E65" s="17" t="n">
        <f aca="false">C65-D65</f>
        <v>0</v>
      </c>
      <c r="F65" s="19" t="n">
        <f aca="false">MES_FERT</f>
        <v>880</v>
      </c>
      <c r="G65" s="19" t="n">
        <f aca="false">D65*PERM_RATE+E65*TEMP_RATE+F65</f>
        <v>2754.89924583264</v>
      </c>
      <c r="H65" s="19" t="n">
        <f aca="false">MES_PRICE</f>
        <v>2700</v>
      </c>
      <c r="I65" s="19" t="n">
        <f aca="false">H65-G65</f>
        <v>-54.8992458326438</v>
      </c>
      <c r="J65" s="20" t="str">
        <f aca="false">IF(COUNTIF($I$58:I65,"&lt;0")&gt;0,"Stop","Plant")</f>
        <v>Stop</v>
      </c>
      <c r="K65" s="21" t="n">
        <f aca="false">IF(A65&lt;2,0,IF(G65&lt;G64,1,0))</f>
        <v>0</v>
      </c>
      <c r="L65" s="19" t="n">
        <f aca="false">SUM($G$58:G65)</f>
        <v>20846.0762647677</v>
      </c>
      <c r="M65" s="19" t="n">
        <f aca="false">L65/A65</f>
        <v>2605.75953309596</v>
      </c>
    </row>
    <row r="66" customFormat="false" ht="15" hidden="false" customHeight="false" outlineLevel="0" collapsed="false">
      <c r="A66" s="16" t="n">
        <v>9</v>
      </c>
      <c r="B66" s="17" t="n">
        <f aca="false">A66*MES_HPB*WEEKS*(1+MES_DIM)^A66</f>
        <v>452.908331865703</v>
      </c>
      <c r="C66" s="17" t="n">
        <f aca="false">B66-B65</f>
        <v>55.2933354403944</v>
      </c>
      <c r="D66" s="17" t="n">
        <f aca="false">MAX(0,MIN(C66,PERM_HOURS-B65))</f>
        <v>55.2933354403944</v>
      </c>
      <c r="E66" s="17" t="n">
        <f aca="false">C66-D66</f>
        <v>0</v>
      </c>
      <c r="F66" s="19" t="n">
        <f aca="false">MES_FERT</f>
        <v>880</v>
      </c>
      <c r="G66" s="19" t="n">
        <f aca="false">D66*PERM_RATE+E66*TEMP_RATE+F66</f>
        <v>2799.90748056925</v>
      </c>
      <c r="H66" s="19" t="n">
        <f aca="false">MES_PRICE</f>
        <v>2700</v>
      </c>
      <c r="I66" s="19" t="n">
        <f aca="false">H66-G66</f>
        <v>-99.9074805692499</v>
      </c>
      <c r="J66" s="20" t="str">
        <f aca="false">IF(COUNTIF($I$58:I66,"&lt;0")&gt;0,"Stop","Plant")</f>
        <v>Stop</v>
      </c>
      <c r="K66" s="21" t="n">
        <f aca="false">IF(A66&lt;2,0,IF(G66&lt;G65,1,0))</f>
        <v>0</v>
      </c>
      <c r="L66" s="19" t="n">
        <f aca="false">SUM($G$58:G66)</f>
        <v>23645.9837453369</v>
      </c>
      <c r="M66" s="19" t="n">
        <f aca="false">L66/A66</f>
        <v>2627.33152725966</v>
      </c>
    </row>
    <row r="67" customFormat="false" ht="15" hidden="false" customHeight="false" outlineLevel="0" collapsed="false">
      <c r="A67" s="16" t="n">
        <v>10</v>
      </c>
      <c r="B67" s="17" t="n">
        <f aca="false">A67*MES_HPB*WEEKS*(1+MES_DIM)^A67</f>
        <v>509.521873348916</v>
      </c>
      <c r="C67" s="17" t="n">
        <f aca="false">B67-B66</f>
        <v>56.6135414832128</v>
      </c>
      <c r="D67" s="17" t="n">
        <f aca="false">MAX(0,MIN(C67,PERM_HOURS-B66))</f>
        <v>56.6135414832128</v>
      </c>
      <c r="E67" s="17" t="n">
        <f aca="false">C67-D67</f>
        <v>0</v>
      </c>
      <c r="F67" s="19" t="n">
        <f aca="false">MES_FERT</f>
        <v>880</v>
      </c>
      <c r="G67" s="19" t="n">
        <f aca="false">D67*PERM_RATE+E67*TEMP_RATE+F67</f>
        <v>2845.74796816711</v>
      </c>
      <c r="H67" s="19" t="n">
        <f aca="false">MES_PRICE</f>
        <v>2700</v>
      </c>
      <c r="I67" s="19" t="n">
        <f aca="false">H67-G67</f>
        <v>-145.74796816711</v>
      </c>
      <c r="J67" s="20" t="str">
        <f aca="false">IF(COUNTIF($I$58:I67,"&lt;0")&gt;0,"Stop","Plant")</f>
        <v>Stop</v>
      </c>
      <c r="K67" s="21" t="n">
        <f aca="false">IF(A67&lt;2,0,IF(G67&lt;G66,1,0))</f>
        <v>0</v>
      </c>
      <c r="L67" s="19" t="n">
        <f aca="false">SUM($G$58:G67)</f>
        <v>26491.731713504</v>
      </c>
      <c r="M67" s="19" t="n">
        <f aca="false">L67/A67</f>
        <v>2649.1731713504</v>
      </c>
    </row>
    <row r="68" customFormat="false" ht="15" hidden="false" customHeight="false" outlineLevel="0" collapsed="false">
      <c r="A68" s="16" t="n">
        <v>11</v>
      </c>
      <c r="B68" s="17" t="n">
        <f aca="false">A68*MES_HPB*WEEKS*(1+MES_DIM)^A68</f>
        <v>567.479986442355</v>
      </c>
      <c r="C68" s="17" t="n">
        <f aca="false">B68-B67</f>
        <v>57.9581130934391</v>
      </c>
      <c r="D68" s="17" t="n">
        <f aca="false">MAX(0,MIN(C68,PERM_HOURS-B67))</f>
        <v>57.9581130934391</v>
      </c>
      <c r="E68" s="17" t="n">
        <f aca="false">C68-D68</f>
        <v>0</v>
      </c>
      <c r="F68" s="19" t="n">
        <f aca="false">MES_FERT</f>
        <v>880</v>
      </c>
      <c r="G68" s="19" t="n">
        <f aca="false">D68*PERM_RATE+E68*TEMP_RATE+F68</f>
        <v>2892.43448241108</v>
      </c>
      <c r="H68" s="19" t="n">
        <f aca="false">MES_PRICE</f>
        <v>2700</v>
      </c>
      <c r="I68" s="19" t="n">
        <f aca="false">H68-G68</f>
        <v>-192.43448241108</v>
      </c>
      <c r="J68" s="20" t="str">
        <f aca="false">IF(COUNTIF($I$58:I68,"&lt;0")&gt;0,"Stop","Plant")</f>
        <v>Stop</v>
      </c>
      <c r="K68" s="21" t="n">
        <f aca="false">IF(A68&lt;2,0,IF(G68&lt;G67,1,0))</f>
        <v>0</v>
      </c>
      <c r="L68" s="19" t="n">
        <f aca="false">SUM($G$58:G68)</f>
        <v>29384.1661959151</v>
      </c>
      <c r="M68" s="19" t="n">
        <f aca="false">L68/A68</f>
        <v>2671.28783599228</v>
      </c>
    </row>
    <row r="69" customFormat="false" ht="15" hidden="false" customHeight="false" outlineLevel="0" collapsed="false">
      <c r="A69" s="16" t="n">
        <v>12</v>
      </c>
      <c r="B69" s="17" t="n">
        <f aca="false">A69*MES_HPB*WEEKS*(1+MES_DIM)^A69</f>
        <v>626.807439570419</v>
      </c>
      <c r="C69" s="17" t="n">
        <f aca="false">B69-B68</f>
        <v>59.3274531280644</v>
      </c>
      <c r="D69" s="17" t="n">
        <f aca="false">MAX(0,MIN(C69,PERM_HOURS-B68))</f>
        <v>59.3274531280644</v>
      </c>
      <c r="E69" s="17" t="n">
        <f aca="false">C69-D69</f>
        <v>0</v>
      </c>
      <c r="F69" s="19" t="n">
        <f aca="false">MES_FERT</f>
        <v>880</v>
      </c>
      <c r="G69" s="19" t="n">
        <f aca="false">D69*PERM_RATE+E69*TEMP_RATE+F69</f>
        <v>2939.98101139112</v>
      </c>
      <c r="H69" s="19" t="n">
        <f aca="false">MES_PRICE</f>
        <v>2700</v>
      </c>
      <c r="I69" s="19" t="n">
        <f aca="false">H69-G69</f>
        <v>-239.981011391123</v>
      </c>
      <c r="J69" s="20" t="str">
        <f aca="false">IF(COUNTIF($I$58:I69,"&lt;0")&gt;0,"Stop","Plant")</f>
        <v>Stop</v>
      </c>
      <c r="K69" s="21" t="n">
        <f aca="false">IF(A69&lt;2,0,IF(G69&lt;G68,1,0))</f>
        <v>0</v>
      </c>
      <c r="L69" s="19" t="n">
        <f aca="false">SUM($G$58:G69)</f>
        <v>32324.1472073062</v>
      </c>
      <c r="M69" s="19" t="n">
        <f aca="false">L69/A69</f>
        <v>2693.67893394218</v>
      </c>
    </row>
    <row r="70" customFormat="false" ht="15" hidden="false" customHeight="false" outlineLevel="0" collapsed="false">
      <c r="A70" s="16" t="n">
        <v>13</v>
      </c>
      <c r="B70" s="17" t="n">
        <f aca="false">A70*MES_HPB*WEEKS*(1+MES_DIM)^A70</f>
        <v>687.529410278803</v>
      </c>
      <c r="C70" s="17" t="n">
        <f aca="false">B70-B69</f>
        <v>60.7219707083843</v>
      </c>
      <c r="D70" s="17" t="n">
        <f aca="false">MAX(0,MIN(C70,PERM_HOURS-B69))</f>
        <v>60.7219707083843</v>
      </c>
      <c r="E70" s="17" t="n">
        <f aca="false">C70-D70</f>
        <v>0</v>
      </c>
      <c r="F70" s="19" t="n">
        <f aca="false">MES_FERT</f>
        <v>880</v>
      </c>
      <c r="G70" s="19" t="n">
        <f aca="false">D70*PERM_RATE+E70*TEMP_RATE+F70</f>
        <v>2988.40176070779</v>
      </c>
      <c r="H70" s="19" t="n">
        <f aca="false">MES_PRICE</f>
        <v>2700</v>
      </c>
      <c r="I70" s="19" t="n">
        <f aca="false">H70-G70</f>
        <v>-288.401760707789</v>
      </c>
      <c r="J70" s="20" t="str">
        <f aca="false">IF(COUNTIF($I$58:I70,"&lt;0")&gt;0,"Stop","Plant")</f>
        <v>Stop</v>
      </c>
      <c r="K70" s="21" t="n">
        <f aca="false">IF(A70&lt;2,0,IF(G70&lt;G69,1,0))</f>
        <v>0</v>
      </c>
      <c r="L70" s="19" t="n">
        <f aca="false">SUM($G$58:G70)</f>
        <v>35312.548968014</v>
      </c>
      <c r="M70" s="19" t="n">
        <f aca="false">L70/A70</f>
        <v>2716.34992061646</v>
      </c>
    </row>
    <row r="71" customFormat="false" ht="15" hidden="false" customHeight="false" outlineLevel="0" collapsed="false">
      <c r="A71" s="16" t="n">
        <v>14</v>
      </c>
      <c r="B71" s="17" t="n">
        <f aca="false">A71*MES_HPB*WEEKS*(1+MES_DIM)^A71</f>
        <v>749.671491592464</v>
      </c>
      <c r="C71" s="17" t="n">
        <f aca="false">B71-B70</f>
        <v>62.142081313661</v>
      </c>
      <c r="D71" s="17" t="n">
        <f aca="false">MAX(0,MIN(C71,PERM_HOURS-B70))</f>
        <v>32.4705897211967</v>
      </c>
      <c r="E71" s="17" t="n">
        <f aca="false">C71-D71</f>
        <v>29.6714915924644</v>
      </c>
      <c r="F71" s="19" t="n">
        <f aca="false">MES_FERT</f>
        <v>880</v>
      </c>
      <c r="G71" s="19" t="n">
        <f aca="false">D71*PERM_RATE+E71*TEMP_RATE+F71</f>
        <v>2522.58109435517</v>
      </c>
      <c r="H71" s="19" t="n">
        <f aca="false">MES_PRICE</f>
        <v>2700</v>
      </c>
      <c r="I71" s="19" t="n">
        <f aca="false">H71-G71</f>
        <v>177.418905644831</v>
      </c>
      <c r="J71" s="20" t="str">
        <f aca="false">IF(COUNTIF($I$58:I71,"&lt;0")&gt;0,"Stop","Plant")</f>
        <v>Stop</v>
      </c>
      <c r="K71" s="21" t="n">
        <f aca="false">IF(A71&lt;2,0,IF(G71&lt;G70,1,0))</f>
        <v>1</v>
      </c>
      <c r="L71" s="19" t="n">
        <f aca="false">SUM($G$58:G71)</f>
        <v>37835.1300623692</v>
      </c>
      <c r="M71" s="19" t="n">
        <f aca="false">L71/A71</f>
        <v>2702.50929016923</v>
      </c>
    </row>
    <row r="72" customFormat="false" ht="15" hidden="false" customHeight="false" outlineLevel="0" collapsed="false">
      <c r="A72" s="16" t="n">
        <v>15</v>
      </c>
      <c r="B72" s="17" t="n">
        <f aca="false">A72*MES_HPB*WEEKS*(1+MES_DIM)^A72</f>
        <v>813.259698468611</v>
      </c>
      <c r="C72" s="17" t="n">
        <f aca="false">B72-B71</f>
        <v>63.5882068761464</v>
      </c>
      <c r="D72" s="17" t="n">
        <f aca="false">MAX(0,MIN(C72,PERM_HOURS-B71))</f>
        <v>0</v>
      </c>
      <c r="E72" s="17" t="n">
        <f aca="false">C72-D72</f>
        <v>63.5882068761464</v>
      </c>
      <c r="F72" s="19" t="n">
        <f aca="false">MES_FERT</f>
        <v>880</v>
      </c>
      <c r="G72" s="19" t="n">
        <f aca="false">D72*PERM_RATE+E72*TEMP_RATE+F72</f>
        <v>1983.9619249331</v>
      </c>
      <c r="H72" s="19" t="n">
        <f aca="false">MES_PRICE</f>
        <v>2700</v>
      </c>
      <c r="I72" s="19" t="n">
        <f aca="false">H72-G72</f>
        <v>716.038075066903</v>
      </c>
      <c r="J72" s="20" t="str">
        <f aca="false">IF(COUNTIF($I$58:I72,"&lt;0")&gt;0,"Stop","Plant")</f>
        <v>Stop</v>
      </c>
      <c r="K72" s="21" t="n">
        <f aca="false">IF(A72&lt;2,0,IF(G72&lt;G71,1,0))</f>
        <v>1</v>
      </c>
      <c r="L72" s="19" t="n">
        <f aca="false">SUM($G$58:G72)</f>
        <v>39819.0919873023</v>
      </c>
      <c r="M72" s="19" t="n">
        <f aca="false">L72/A72</f>
        <v>2654.60613248682</v>
      </c>
    </row>
    <row r="73" customFormat="false" ht="15" hidden="false" customHeight="false" outlineLevel="0" collapsed="false">
      <c r="A73" s="16" t="n">
        <v>16</v>
      </c>
      <c r="B73" s="17" t="n">
        <f aca="false">A73*MES_HPB*WEEKS*(1+MES_DIM)^A73</f>
        <v>878.3204743461</v>
      </c>
      <c r="C73" s="17" t="n">
        <f aca="false">B73-B72</f>
        <v>65.0607758774889</v>
      </c>
      <c r="D73" s="17" t="n">
        <f aca="false">MAX(0,MIN(C73,PERM_HOURS-B72))</f>
        <v>0</v>
      </c>
      <c r="E73" s="17" t="n">
        <f aca="false">C73-D73</f>
        <v>65.0607758774889</v>
      </c>
      <c r="F73" s="19" t="n">
        <f aca="false">MES_FERT</f>
        <v>880</v>
      </c>
      <c r="G73" s="19" t="n">
        <f aca="false">D73*PERM_RATE+E73*TEMP_RATE+F73</f>
        <v>2009.52735898418</v>
      </c>
      <c r="H73" s="19" t="n">
        <f aca="false">MES_PRICE</f>
        <v>2700</v>
      </c>
      <c r="I73" s="19" t="n">
        <f aca="false">H73-G73</f>
        <v>690.472641015817</v>
      </c>
      <c r="J73" s="20" t="str">
        <f aca="false">IF(COUNTIF($I$58:I73,"&lt;0")&gt;0,"Stop","Plant")</f>
        <v>Stop</v>
      </c>
      <c r="K73" s="21" t="n">
        <f aca="false">IF(A73&lt;2,0,IF(G73&lt;G72,1,0))</f>
        <v>0</v>
      </c>
      <c r="L73" s="19" t="n">
        <f aca="false">SUM($G$58:G73)</f>
        <v>41828.6193462865</v>
      </c>
      <c r="M73" s="19" t="n">
        <f aca="false">L73/A73</f>
        <v>2614.2887091429</v>
      </c>
    </row>
    <row r="74" customFormat="false" ht="15" hidden="false" customHeight="false" outlineLevel="0" collapsed="false">
      <c r="A74" s="16" t="n">
        <v>17</v>
      </c>
      <c r="B74" s="17" t="n">
        <f aca="false">A74*MES_HPB*WEEKS*(1+MES_DIM)^A74</f>
        <v>944.88069779264</v>
      </c>
      <c r="C74" s="17" t="n">
        <f aca="false">B74-B73</f>
        <v>66.5602234465403</v>
      </c>
      <c r="D74" s="17" t="n">
        <f aca="false">MAX(0,MIN(C74,PERM_HOURS-B73))</f>
        <v>0</v>
      </c>
      <c r="E74" s="17" t="n">
        <f aca="false">C74-D74</f>
        <v>66.5602234465403</v>
      </c>
      <c r="F74" s="19" t="n">
        <f aca="false">MES_FERT</f>
        <v>880</v>
      </c>
      <c r="G74" s="19" t="n">
        <f aca="false">D74*PERM_RATE+E74*TEMP_RATE+F74</f>
        <v>2035.55943483577</v>
      </c>
      <c r="H74" s="19" t="n">
        <f aca="false">MES_PRICE</f>
        <v>2700</v>
      </c>
      <c r="I74" s="19" t="n">
        <f aca="false">H74-G74</f>
        <v>664.440565164232</v>
      </c>
      <c r="J74" s="20" t="str">
        <f aca="false">IF(COUNTIF($I$58:I74,"&lt;0")&gt;0,"Stop","Plant")</f>
        <v>Stop</v>
      </c>
      <c r="K74" s="21" t="n">
        <f aca="false">IF(A74&lt;2,0,IF(G74&lt;G73,1,0))</f>
        <v>0</v>
      </c>
      <c r="L74" s="19" t="n">
        <f aca="false">SUM($G$58:G74)</f>
        <v>43864.1787811222</v>
      </c>
      <c r="M74" s="19" t="n">
        <f aca="false">L74/A74</f>
        <v>2580.24581065425</v>
      </c>
    </row>
    <row r="75" customFormat="false" ht="15" hidden="false" customHeight="false" outlineLevel="0" collapsed="false">
      <c r="A75" s="16" t="n">
        <v>18</v>
      </c>
      <c r="B75" s="17" t="n">
        <f aca="false">A75*MES_HPB*WEEKS*(1+MES_DIM)^A75</f>
        <v>1012.96768925123</v>
      </c>
      <c r="C75" s="17" t="n">
        <f aca="false">B75-B74</f>
        <v>68.0869914585873</v>
      </c>
      <c r="D75" s="17" t="n">
        <f aca="false">MAX(0,MIN(C75,PERM_HOURS-B74))</f>
        <v>0</v>
      </c>
      <c r="E75" s="17" t="n">
        <f aca="false">C75-D75</f>
        <v>68.0869914585873</v>
      </c>
      <c r="F75" s="19" t="n">
        <f aca="false">MES_FERT</f>
        <v>880</v>
      </c>
      <c r="G75" s="19" t="n">
        <f aca="false">D75*PERM_RATE+E75*TEMP_RATE+F75</f>
        <v>2062.06582393381</v>
      </c>
      <c r="H75" s="19" t="n">
        <f aca="false">MES_PRICE</f>
        <v>2700</v>
      </c>
      <c r="I75" s="19" t="n">
        <f aca="false">H75-G75</f>
        <v>637.934176066194</v>
      </c>
      <c r="J75" s="20" t="str">
        <f aca="false">IF(COUNTIF($I$58:I75,"&lt;0")&gt;0,"Stop","Plant")</f>
        <v>Stop</v>
      </c>
      <c r="K75" s="21" t="n">
        <f aca="false">IF(A75&lt;2,0,IF(G75&lt;G74,1,0))</f>
        <v>0</v>
      </c>
      <c r="L75" s="19" t="n">
        <f aca="false">SUM($G$58:G75)</f>
        <v>45926.244605056</v>
      </c>
      <c r="M75" s="19" t="n">
        <f aca="false">L75/A75</f>
        <v>2551.45803361422</v>
      </c>
    </row>
    <row r="76" customFormat="false" ht="15" hidden="false" customHeight="false" outlineLevel="0" collapsed="false">
      <c r="A76" s="16" t="n">
        <v>19</v>
      </c>
      <c r="B76" s="17" t="n">
        <f aca="false">A76*MES_HPB*WEEKS*(1+MES_DIM)^A76</f>
        <v>1082.60921788725</v>
      </c>
      <c r="C76" s="17" t="n">
        <f aca="false">B76-B75</f>
        <v>69.6415286360219</v>
      </c>
      <c r="D76" s="17" t="n">
        <f aca="false">MAX(0,MIN(C76,PERM_HOURS-B75))</f>
        <v>0</v>
      </c>
      <c r="E76" s="17" t="n">
        <f aca="false">C76-D76</f>
        <v>69.6415286360219</v>
      </c>
      <c r="F76" s="19" t="n">
        <f aca="false">MES_FERT</f>
        <v>880</v>
      </c>
      <c r="G76" s="19" t="n">
        <f aca="false">D76*PERM_RATE+E76*TEMP_RATE+F76</f>
        <v>2089.0543165976</v>
      </c>
      <c r="H76" s="19" t="n">
        <f aca="false">MES_PRICE</f>
        <v>2700</v>
      </c>
      <c r="I76" s="19" t="n">
        <f aca="false">H76-G76</f>
        <v>610.945683402397</v>
      </c>
      <c r="J76" s="20" t="str">
        <f aca="false">IF(COUNTIF($I$58:I76,"&lt;0")&gt;0,"Stop","Plant")</f>
        <v>Stop</v>
      </c>
      <c r="K76" s="21" t="n">
        <f aca="false">IF(A76&lt;2,0,IF(G76&lt;G75,1,0))</f>
        <v>0</v>
      </c>
      <c r="L76" s="19" t="n">
        <f aca="false">SUM($G$58:G76)</f>
        <v>48015.2989216536</v>
      </c>
      <c r="M76" s="19" t="n">
        <f aca="false">L76/A76</f>
        <v>2527.12099587651</v>
      </c>
    </row>
    <row r="77" customFormat="false" ht="15" hidden="false" customHeight="false" outlineLevel="0" collapsed="false">
      <c r="A77" s="16" t="n">
        <v>20</v>
      </c>
      <c r="B77" s="17" t="n">
        <f aca="false">A77*MES_HPB*WEEKS*(1+MES_DIM)^A77</f>
        <v>1153.83350853773</v>
      </c>
      <c r="C77" s="17" t="n">
        <f aca="false">B77-B76</f>
        <v>71.2242906504769</v>
      </c>
      <c r="D77" s="17" t="n">
        <f aca="false">MAX(0,MIN(C77,PERM_HOURS-B76))</f>
        <v>0</v>
      </c>
      <c r="E77" s="17" t="n">
        <f aca="false">C77-D77</f>
        <v>71.2242906504769</v>
      </c>
      <c r="F77" s="19" t="n">
        <f aca="false">MES_FERT</f>
        <v>880</v>
      </c>
      <c r="G77" s="19" t="n">
        <f aca="false">D77*PERM_RATE+E77*TEMP_RATE+F77</f>
        <v>2116.532823793</v>
      </c>
      <c r="H77" s="19" t="n">
        <f aca="false">MES_PRICE</f>
        <v>2700</v>
      </c>
      <c r="I77" s="19" t="n">
        <f aca="false">H77-G77</f>
        <v>583.467176206999</v>
      </c>
      <c r="J77" s="20" t="str">
        <f aca="false">IF(COUNTIF($I$58:I77,"&lt;0")&gt;0,"Stop","Plant")</f>
        <v>Stop</v>
      </c>
      <c r="K77" s="21" t="n">
        <f aca="false">IF(A77&lt;2,0,IF(G77&lt;G76,1,0))</f>
        <v>0</v>
      </c>
      <c r="L77" s="19" t="n">
        <f aca="false">SUM($G$58:G77)</f>
        <v>50131.8317454466</v>
      </c>
      <c r="M77" s="19" t="n">
        <f aca="false">L77/A77</f>
        <v>2506.59158727233</v>
      </c>
    </row>
    <row r="78" customFormat="false" ht="15" hidden="false" customHeight="false" outlineLevel="0" collapsed="false">
      <c r="A78" s="16" t="n">
        <v>21</v>
      </c>
      <c r="B78" s="17" t="n">
        <f aca="false">A78*MES_HPB*WEEKS*(1+MES_DIM)^A78</f>
        <v>1226.66924876417</v>
      </c>
      <c r="C78" s="17" t="n">
        <f aca="false">B78-B77</f>
        <v>72.8357402264439</v>
      </c>
      <c r="D78" s="17" t="n">
        <f aca="false">MAX(0,MIN(C78,PERM_HOURS-B77))</f>
        <v>0</v>
      </c>
      <c r="E78" s="17" t="n">
        <f aca="false">C78-D78</f>
        <v>72.8357402264439</v>
      </c>
      <c r="F78" s="19" t="n">
        <f aca="false">MES_FERT</f>
        <v>880</v>
      </c>
      <c r="G78" s="19" t="n">
        <f aca="false">D78*PERM_RATE+E78*TEMP_RATE+F78</f>
        <v>2144.50937893132</v>
      </c>
      <c r="H78" s="19" t="n">
        <f aca="false">MES_PRICE</f>
        <v>2700</v>
      </c>
      <c r="I78" s="19" t="n">
        <f aca="false">H78-G78</f>
        <v>555.490621068682</v>
      </c>
      <c r="J78" s="20" t="str">
        <f aca="false">IF(COUNTIF($I$58:I78,"&lt;0")&gt;0,"Stop","Plant")</f>
        <v>Stop</v>
      </c>
      <c r="K78" s="21" t="n">
        <f aca="false">IF(A78&lt;2,0,IF(G78&lt;G77,1,0))</f>
        <v>0</v>
      </c>
      <c r="L78" s="19" t="n">
        <f aca="false">SUM($G$58:G78)</f>
        <v>52276.341124378</v>
      </c>
      <c r="M78" s="19" t="n">
        <f aca="false">L78/A78</f>
        <v>2489.34957735133</v>
      </c>
    </row>
    <row r="79" customFormat="false" ht="15" hidden="false" customHeight="false" outlineLevel="0" collapsed="false">
      <c r="A79" s="16" t="n">
        <v>22</v>
      </c>
      <c r="B79" s="17" t="n">
        <f aca="false">A79*MES_HPB*WEEKS*(1+MES_DIM)^A79</f>
        <v>1301.14559601057</v>
      </c>
      <c r="C79" s="17" t="n">
        <f aca="false">B79-B78</f>
        <v>74.476347246396</v>
      </c>
      <c r="D79" s="17" t="n">
        <f aca="false">MAX(0,MIN(C79,PERM_HOURS-B78))</f>
        <v>0</v>
      </c>
      <c r="E79" s="17" t="n">
        <f aca="false">C79-D79</f>
        <v>74.476347246396</v>
      </c>
      <c r="F79" s="19" t="n">
        <f aca="false">MES_FERT</f>
        <v>880</v>
      </c>
      <c r="G79" s="19" t="n">
        <f aca="false">D79*PERM_RATE+E79*TEMP_RATE+F79</f>
        <v>2172.99213969438</v>
      </c>
      <c r="H79" s="19" t="n">
        <f aca="false">MES_PRICE</f>
        <v>2700</v>
      </c>
      <c r="I79" s="19" t="n">
        <f aca="false">H79-G79</f>
        <v>527.007860305625</v>
      </c>
      <c r="J79" s="20" t="str">
        <f aca="false">IF(COUNTIF($I$58:I79,"&lt;0")&gt;0,"Stop","Plant")</f>
        <v>Stop</v>
      </c>
      <c r="K79" s="21" t="n">
        <f aca="false">IF(A79&lt;2,0,IF(G79&lt;G78,1,0))</f>
        <v>0</v>
      </c>
      <c r="L79" s="19" t="n">
        <f aca="false">SUM($G$58:G79)</f>
        <v>54449.3332640723</v>
      </c>
      <c r="M79" s="19" t="n">
        <f aca="false">L79/A79</f>
        <v>2474.96969382147</v>
      </c>
    </row>
    <row r="80" customFormat="false" ht="15" hidden="false" customHeight="false" outlineLevel="0" collapsed="false">
      <c r="A80" s="16" t="n">
        <v>23</v>
      </c>
      <c r="B80" s="17" t="n">
        <f aca="false">A80*MES_HPB*WEEKS*(1+MES_DIM)^A80</f>
        <v>1377.292184868</v>
      </c>
      <c r="C80" s="17" t="n">
        <f aca="false">B80-B79</f>
        <v>76.1465888574364</v>
      </c>
      <c r="D80" s="17" t="n">
        <f aca="false">MAX(0,MIN(C80,PERM_HOURS-B79))</f>
        <v>0</v>
      </c>
      <c r="E80" s="17" t="n">
        <f aca="false">C80-D80</f>
        <v>76.1465888574364</v>
      </c>
      <c r="F80" s="19" t="n">
        <f aca="false">MES_FERT</f>
        <v>880</v>
      </c>
      <c r="G80" s="19" t="n">
        <f aca="false">D80*PERM_RATE+E80*TEMP_RATE+F80</f>
        <v>2201.98938988605</v>
      </c>
      <c r="H80" s="19" t="n">
        <f aca="false">MES_PRICE</f>
        <v>2700</v>
      </c>
      <c r="I80" s="19" t="n">
        <f aca="false">H80-G80</f>
        <v>498.010610113951</v>
      </c>
      <c r="J80" s="20" t="str">
        <f aca="false">IF(COUNTIF($I$58:I80,"&lt;0")&gt;0,"Stop","Plant")</f>
        <v>Stop</v>
      </c>
      <c r="K80" s="21" t="n">
        <f aca="false">IF(A80&lt;2,0,IF(G80&lt;G79,1,0))</f>
        <v>0</v>
      </c>
      <c r="L80" s="19" t="n">
        <f aca="false">SUM($G$58:G80)</f>
        <v>56651.3226539584</v>
      </c>
      <c r="M80" s="19" t="n">
        <f aca="false">L80/A80</f>
        <v>2463.10098495471</v>
      </c>
    </row>
    <row r="81" customFormat="false" ht="15" hidden="false" customHeight="false" outlineLevel="0" collapsed="false">
      <c r="A81" s="16" t="n">
        <v>24</v>
      </c>
      <c r="B81" s="17" t="n">
        <f aca="false">A81*MES_HPB*WEEKS*(1+MES_DIM)^A81</f>
        <v>1455.1391344475</v>
      </c>
      <c r="C81" s="17" t="n">
        <f aca="false">B81-B80</f>
        <v>77.8469495794957</v>
      </c>
      <c r="D81" s="17" t="n">
        <f aca="false">MAX(0,MIN(C81,PERM_HOURS-B80))</f>
        <v>0</v>
      </c>
      <c r="E81" s="17" t="n">
        <f aca="false">C81-D81</f>
        <v>77.8469495794957</v>
      </c>
      <c r="F81" s="19" t="n">
        <f aca="false">MES_FERT</f>
        <v>880</v>
      </c>
      <c r="G81" s="19" t="n">
        <f aca="false">D81*PERM_RATE+E81*TEMP_RATE+F81</f>
        <v>2231.50954131069</v>
      </c>
      <c r="H81" s="19" t="n">
        <f aca="false">MES_PRICE</f>
        <v>2700</v>
      </c>
      <c r="I81" s="19" t="n">
        <f aca="false">H81-G81</f>
        <v>468.490458689311</v>
      </c>
      <c r="J81" s="20" t="str">
        <f aca="false">IF(COUNTIF($I$58:I81,"&lt;0")&gt;0,"Stop","Plant")</f>
        <v>Stop</v>
      </c>
      <c r="K81" s="21" t="n">
        <f aca="false">IF(A81&lt;2,0,IF(G81&lt;G80,1,0))</f>
        <v>0</v>
      </c>
      <c r="L81" s="19" t="n">
        <f aca="false">SUM($G$58:G81)</f>
        <v>58882.8321952691</v>
      </c>
      <c r="M81" s="19" t="n">
        <f aca="false">L81/A81</f>
        <v>2453.45134146954</v>
      </c>
    </row>
    <row r="82" customFormat="false" ht="15" hidden="false" customHeight="false" outlineLevel="0" collapsed="false">
      <c r="A82" s="16" t="n">
        <v>25</v>
      </c>
      <c r="B82" s="17" t="n">
        <f aca="false">A82*MES_HPB*WEEKS*(1+MES_DIM)^A82</f>
        <v>1534.7170558626</v>
      </c>
      <c r="C82" s="17" t="n">
        <f aca="false">B82-B81</f>
        <v>79.5779214150975</v>
      </c>
      <c r="D82" s="17" t="n">
        <f aca="false">MAX(0,MIN(C82,PERM_HOURS-B81))</f>
        <v>0</v>
      </c>
      <c r="E82" s="17" t="n">
        <f aca="false">C82-D82</f>
        <v>79.5779214150975</v>
      </c>
      <c r="F82" s="19" t="n">
        <f aca="false">MES_FERT</f>
        <v>880</v>
      </c>
      <c r="G82" s="19" t="n">
        <f aca="false">D82*PERM_RATE+E82*TEMP_RATE+F82</f>
        <v>2261.56113567878</v>
      </c>
      <c r="H82" s="19" t="n">
        <f aca="false">MES_PRICE</f>
        <v>2700</v>
      </c>
      <c r="I82" s="19" t="n">
        <f aca="false">H82-G82</f>
        <v>438.438864321223</v>
      </c>
      <c r="J82" s="20" t="str">
        <f aca="false">IF(COUNTIF($I$58:I82,"&lt;0")&gt;0,"Stop","Plant")</f>
        <v>Stop</v>
      </c>
      <c r="K82" s="21" t="n">
        <f aca="false">IF(A82&lt;2,0,IF(G82&lt;G81,1,0))</f>
        <v>0</v>
      </c>
      <c r="L82" s="19" t="n">
        <f aca="false">SUM($G$58:G82)</f>
        <v>61144.3933309478</v>
      </c>
      <c r="M82" s="19" t="n">
        <f aca="false">L82/A82</f>
        <v>2445.77573323791</v>
      </c>
    </row>
    <row r="83" customFormat="false" ht="15" hidden="false" customHeight="false" outlineLevel="0" collapsed="false">
      <c r="A83" s="16" t="n">
        <v>26</v>
      </c>
      <c r="B83" s="17" t="n">
        <f aca="false">A83*MES_HPB*WEEKS*(1+MES_DIM)^A83</f>
        <v>1616.05705982331</v>
      </c>
      <c r="C83" s="17" t="n">
        <f aca="false">B83-B82</f>
        <v>81.3400039607172</v>
      </c>
      <c r="D83" s="17" t="n">
        <f aca="false">MAX(0,MIN(C83,PERM_HOURS-B82))</f>
        <v>0</v>
      </c>
      <c r="E83" s="17" t="n">
        <f aca="false">C83-D83</f>
        <v>81.3400039607172</v>
      </c>
      <c r="F83" s="19" t="n">
        <f aca="false">MES_FERT</f>
        <v>880</v>
      </c>
      <c r="G83" s="19" t="n">
        <f aca="false">D83*PERM_RATE+E83*TEMP_RATE+F83</f>
        <v>2292.15284654023</v>
      </c>
      <c r="H83" s="19" t="n">
        <f aca="false">MES_PRICE</f>
        <v>2700</v>
      </c>
      <c r="I83" s="19" t="n">
        <f aca="false">H83-G83</f>
        <v>407.84715345977</v>
      </c>
      <c r="J83" s="20" t="str">
        <f aca="false">IF(COUNTIF($I$58:I83,"&lt;0")&gt;0,"Stop","Plant")</f>
        <v>Stop</v>
      </c>
      <c r="K83" s="21" t="n">
        <f aca="false">IF(A83&lt;2,0,IF(G83&lt;G82,1,0))</f>
        <v>0</v>
      </c>
      <c r="L83" s="19" t="n">
        <f aca="false">SUM($G$58:G83)</f>
        <v>63436.5461774881</v>
      </c>
      <c r="M83" s="19" t="n">
        <f aca="false">L83/A83</f>
        <v>2439.86716067262</v>
      </c>
    </row>
    <row r="84" customFormat="false" ht="15" hidden="false" customHeight="false" outlineLevel="0" collapsed="false">
      <c r="A84" s="16" t="n">
        <v>27</v>
      </c>
      <c r="B84" s="17" t="n">
        <f aca="false">A84*MES_HPB*WEEKS*(1+MES_DIM)^A84</f>
        <v>1699.19076434307</v>
      </c>
      <c r="C84" s="17" t="n">
        <f aca="false">B84-B83</f>
        <v>83.1337045197572</v>
      </c>
      <c r="D84" s="17" t="n">
        <f aca="false">MAX(0,MIN(C84,PERM_HOURS-B83))</f>
        <v>0</v>
      </c>
      <c r="E84" s="17" t="n">
        <f aca="false">C84-D84</f>
        <v>83.1337045197572</v>
      </c>
      <c r="F84" s="19" t="n">
        <f aca="false">MES_FERT</f>
        <v>880</v>
      </c>
      <c r="G84" s="19" t="n">
        <f aca="false">D84*PERM_RATE+E84*TEMP_RATE+F84</f>
        <v>2323.29348124578</v>
      </c>
      <c r="H84" s="19" t="n">
        <f aca="false">MES_PRICE</f>
        <v>2700</v>
      </c>
      <c r="I84" s="19" t="n">
        <f aca="false">H84-G84</f>
        <v>376.706518754215</v>
      </c>
      <c r="J84" s="20" t="str">
        <f aca="false">IF(COUNTIF($I$58:I84,"&lt;0")&gt;0,"Stop","Plant")</f>
        <v>Stop</v>
      </c>
      <c r="K84" s="21" t="n">
        <f aca="false">IF(A84&lt;2,0,IF(G84&lt;G83,1,0))</f>
        <v>0</v>
      </c>
      <c r="L84" s="19" t="n">
        <f aca="false">SUM($G$58:G84)</f>
        <v>65759.8396587339</v>
      </c>
      <c r="M84" s="19" t="n">
        <f aca="false">L84/A84</f>
        <v>2435.54961699014</v>
      </c>
    </row>
    <row r="85" customFormat="false" ht="15" hidden="false" customHeight="false" outlineLevel="0" collapsed="false">
      <c r="A85" s="16" t="n">
        <v>28</v>
      </c>
      <c r="B85" s="17" t="n">
        <f aca="false">A85*MES_HPB*WEEKS*(1+MES_DIM)^A85</f>
        <v>1784.15030256022</v>
      </c>
      <c r="C85" s="17" t="n">
        <f aca="false">B85-B84</f>
        <v>84.9595382171533</v>
      </c>
      <c r="D85" s="17" t="n">
        <f aca="false">MAX(0,MIN(C85,PERM_HOURS-B84))</f>
        <v>0</v>
      </c>
      <c r="E85" s="17" t="n">
        <f aca="false">C85-D85</f>
        <v>84.9595382171533</v>
      </c>
      <c r="F85" s="19" t="n">
        <f aca="false">MES_FERT</f>
        <v>880</v>
      </c>
      <c r="G85" s="19" t="n">
        <f aca="false">D85*PERM_RATE+E85*TEMP_RATE+F85</f>
        <v>2354.99198293669</v>
      </c>
      <c r="H85" s="19" t="n">
        <f aca="false">MES_PRICE</f>
        <v>2700</v>
      </c>
      <c r="I85" s="19" t="n">
        <f aca="false">H85-G85</f>
        <v>345.008017063311</v>
      </c>
      <c r="J85" s="20" t="str">
        <f aca="false">IF(COUNTIF($I$58:I85,"&lt;0")&gt;0,"Stop","Plant")</f>
        <v>Stop</v>
      </c>
      <c r="K85" s="21" t="n">
        <f aca="false">IF(A85&lt;2,0,IF(G85&lt;G84,1,0))</f>
        <v>0</v>
      </c>
      <c r="L85" s="19" t="n">
        <f aca="false">SUM($G$58:G85)</f>
        <v>68114.8316416705</v>
      </c>
      <c r="M85" s="19" t="n">
        <f aca="false">L85/A85</f>
        <v>2432.67255863109</v>
      </c>
    </row>
    <row r="86" customFormat="false" ht="15" hidden="false" customHeight="false" outlineLevel="0" collapsed="false">
      <c r="A86" s="16" t="n">
        <v>29</v>
      </c>
      <c r="B86" s="17" t="n">
        <f aca="false">A86*MES_HPB*WEEKS*(1+MES_DIM)^A86</f>
        <v>1870.96833067588</v>
      </c>
      <c r="C86" s="17" t="n">
        <f aca="false">B86-B85</f>
        <v>86.8180281156533</v>
      </c>
      <c r="D86" s="17" t="n">
        <f aca="false">MAX(0,MIN(C86,PERM_HOURS-B85))</f>
        <v>0</v>
      </c>
      <c r="E86" s="17" t="n">
        <f aca="false">C86-D86</f>
        <v>86.8180281156533</v>
      </c>
      <c r="F86" s="19" t="n">
        <f aca="false">MES_FERT</f>
        <v>880</v>
      </c>
      <c r="G86" s="19" t="n">
        <f aca="false">D86*PERM_RATE+E86*TEMP_RATE+F86</f>
        <v>2387.25743256343</v>
      </c>
      <c r="H86" s="19" t="n">
        <f aca="false">MES_PRICE</f>
        <v>2700</v>
      </c>
      <c r="I86" s="19" t="n">
        <f aca="false">H86-G86</f>
        <v>312.742567436575</v>
      </c>
      <c r="J86" s="20" t="str">
        <f aca="false">IF(COUNTIF($I$58:I86,"&lt;0")&gt;0,"Stop","Plant")</f>
        <v>Stop</v>
      </c>
      <c r="K86" s="21" t="n">
        <f aca="false">IF(A86&lt;2,0,IF(G86&lt;G85,1,0))</f>
        <v>0</v>
      </c>
      <c r="L86" s="19" t="n">
        <f aca="false">SUM($G$58:G86)</f>
        <v>70502.089074234</v>
      </c>
      <c r="M86" s="19" t="n">
        <f aca="false">L86/A86</f>
        <v>2431.10651980117</v>
      </c>
    </row>
    <row r="87" customFormat="false" ht="15" hidden="false" customHeight="false" outlineLevel="0" collapsed="false">
      <c r="A87" s="16" t="n">
        <v>30</v>
      </c>
      <c r="B87" s="17" t="n">
        <f aca="false">A87*MES_HPB*WEEKS*(1+MES_DIM)^A87</f>
        <v>1959.67803600965</v>
      </c>
      <c r="C87" s="17" t="n">
        <f aca="false">B87-B86</f>
        <v>88.70970533377</v>
      </c>
      <c r="D87" s="17" t="n">
        <f aca="false">MAX(0,MIN(C87,PERM_HOURS-B86))</f>
        <v>0</v>
      </c>
      <c r="E87" s="17" t="n">
        <f aca="false">C87-D87</f>
        <v>88.70970533377</v>
      </c>
      <c r="F87" s="19" t="n">
        <f aca="false">MES_FERT</f>
        <v>880</v>
      </c>
      <c r="G87" s="19" t="n">
        <f aca="false">D87*PERM_RATE+E87*TEMP_RATE+F87</f>
        <v>2420.09905093351</v>
      </c>
      <c r="H87" s="19" t="n">
        <f aca="false">MES_PRICE</f>
        <v>2700</v>
      </c>
      <c r="I87" s="19" t="n">
        <f aca="false">H87-G87</f>
        <v>279.900949066493</v>
      </c>
      <c r="J87" s="20" t="str">
        <f aca="false">IF(COUNTIF($I$58:I87,"&lt;0")&gt;0,"Stop","Plant")</f>
        <v>Stop</v>
      </c>
      <c r="K87" s="21" t="n">
        <f aca="false">IF(A87&lt;2,0,IF(G87&lt;G86,1,0))</f>
        <v>0</v>
      </c>
      <c r="L87" s="19" t="n">
        <f aca="false">SUM($G$58:G87)</f>
        <v>72922.1881251675</v>
      </c>
      <c r="M87" s="19" t="n">
        <f aca="false">L87/A87</f>
        <v>2430.73960417225</v>
      </c>
    </row>
    <row r="88" customFormat="false" ht="15" hidden="false" customHeight="false" outlineLevel="0" collapsed="false">
      <c r="A88" s="22" t="n">
        <f aca="false">A87+1</f>
        <v>31</v>
      </c>
      <c r="B88" s="23" t="n">
        <f aca="false">A88*MES_HPB*WEEKS*(1+MES_DIM)^A88</f>
        <v>2050.31314517509</v>
      </c>
      <c r="C88" s="23" t="n">
        <f aca="false">B88-B87</f>
        <v>90.6351091654462</v>
      </c>
      <c r="D88" s="23" t="n">
        <f aca="false">MAX(0,MIN(C88,PERM_HOURS-B87))</f>
        <v>0</v>
      </c>
      <c r="E88" s="23" t="n">
        <f aca="false">C88-D88</f>
        <v>90.6351091654462</v>
      </c>
      <c r="F88" s="24" t="n">
        <f aca="false">MES_FERT</f>
        <v>880</v>
      </c>
      <c r="G88" s="24" t="n">
        <f aca="false">D88*PERM_RATE+E88*TEMP_RATE+F88</f>
        <v>2453.526200789</v>
      </c>
      <c r="H88" s="24" t="n">
        <f aca="false">MES_PRICE</f>
        <v>2700</v>
      </c>
      <c r="I88" s="24" t="n">
        <f aca="false">H88-G88</f>
        <v>246.473799211003</v>
      </c>
      <c r="J88" s="25" t="s">
        <v>82</v>
      </c>
      <c r="K88" s="26" t="n">
        <f aca="false">IF(G88&lt;G87,1,0)</f>
        <v>0</v>
      </c>
      <c r="L88" s="24" t="n">
        <f aca="false">SUM($G$58:G88)</f>
        <v>75375.7143259565</v>
      </c>
      <c r="M88" s="24" t="n">
        <f aca="false">L88/A88</f>
        <v>2431.47465567602</v>
      </c>
      <c r="N88" s="15" t="s">
        <v>85</v>
      </c>
    </row>
    <row r="90" customFormat="false" ht="15" hidden="false" customHeight="false" outlineLevel="0" collapsed="false">
      <c r="A90" s="3" t="s">
        <v>86</v>
      </c>
    </row>
    <row r="91" customFormat="false" ht="15" hidden="false" customHeight="false" outlineLevel="0" collapsed="false">
      <c r="A91" s="4" t="s">
        <v>87</v>
      </c>
      <c r="B91" s="4" t="s">
        <v>4</v>
      </c>
      <c r="C91" s="4" t="s">
        <v>5</v>
      </c>
      <c r="D91" s="4" t="s">
        <v>88</v>
      </c>
    </row>
    <row r="92" customFormat="false" ht="15" hidden="false" customHeight="false" outlineLevel="0" collapsed="false">
      <c r="A92" s="5" t="s">
        <v>89</v>
      </c>
      <c r="B92" s="27" t="n">
        <f aca="false">COUNTIF($J$8:$J$27,"Plant")</f>
        <v>10</v>
      </c>
      <c r="C92" s="7" t="s">
        <v>25</v>
      </c>
      <c r="D92" s="2" t="s">
        <v>90</v>
      </c>
    </row>
    <row r="93" customFormat="false" ht="15" hidden="false" customHeight="false" outlineLevel="0" collapsed="false">
      <c r="A93" s="5" t="s">
        <v>91</v>
      </c>
      <c r="B93" s="27" t="n">
        <f aca="false">COUNTIF($J$33:$J$52,"Plant")</f>
        <v>10</v>
      </c>
      <c r="C93" s="7" t="s">
        <v>25</v>
      </c>
      <c r="D93" s="2" t="s">
        <v>90</v>
      </c>
    </row>
    <row r="94" customFormat="false" ht="15" hidden="false" customHeight="false" outlineLevel="0" collapsed="false">
      <c r="A94" s="5" t="s">
        <v>92</v>
      </c>
      <c r="B94" s="27" t="n">
        <f aca="false">COUNTIF($J$58:$J$87,"Plant")</f>
        <v>6</v>
      </c>
      <c r="C94" s="7" t="s">
        <v>25</v>
      </c>
      <c r="D94" s="2" t="s">
        <v>90</v>
      </c>
    </row>
    <row r="95" customFormat="false" ht="15" hidden="false" customHeight="false" outlineLevel="0" collapsed="false">
      <c r="A95" s="5" t="s">
        <v>93</v>
      </c>
      <c r="B95" s="27" t="n">
        <f aca="false">INDEX($A$8:$A$27,MATCH(1,$K$8:$K$27,0))</f>
        <v>6</v>
      </c>
      <c r="C95" s="7" t="s">
        <v>94</v>
      </c>
      <c r="D95" s="2" t="s">
        <v>95</v>
      </c>
    </row>
    <row r="96" customFormat="false" ht="15" hidden="false" customHeight="false" outlineLevel="0" collapsed="false">
      <c r="A96" s="5" t="s">
        <v>96</v>
      </c>
      <c r="B96" s="28" t="n">
        <f aca="false">INDEX($G$8:$G$27,MATCH(1,$K$8:$K$27,0)-1)-INDEX($G$8:$G$27,MATCH(1,$K$8:$K$27,0))</f>
        <v>2754.584375</v>
      </c>
      <c r="C96" s="7" t="s">
        <v>97</v>
      </c>
      <c r="D96" s="2" t="s">
        <v>98</v>
      </c>
    </row>
    <row r="97" customFormat="false" ht="15" hidden="false" customHeight="false" outlineLevel="0" collapsed="false">
      <c r="A97" s="5" t="s">
        <v>99</v>
      </c>
      <c r="B97" s="29" t="n">
        <f aca="false">I53</f>
        <v>352.494754456849</v>
      </c>
      <c r="C97" s="7" t="s">
        <v>34</v>
      </c>
      <c r="D97" s="2" t="s">
        <v>100</v>
      </c>
    </row>
    <row r="98" customFormat="false" ht="15" hidden="false" customHeight="false" outlineLevel="0" collapsed="false">
      <c r="A98" s="5" t="s">
        <v>101</v>
      </c>
      <c r="B98" s="29" t="n">
        <f aca="false">I88</f>
        <v>246.473799211003</v>
      </c>
      <c r="C98" s="7" t="s">
        <v>34</v>
      </c>
      <c r="D98" s="2" t="s">
        <v>102</v>
      </c>
    </row>
    <row r="99" customFormat="false" ht="15" hidden="false" customHeight="false" outlineLevel="0" collapsed="false">
      <c r="A99" s="5" t="s">
        <v>103</v>
      </c>
      <c r="B99" s="29" t="n">
        <f aca="false">M52</f>
        <v>1918.44606265125</v>
      </c>
      <c r="C99" s="7" t="s">
        <v>34</v>
      </c>
      <c r="D99" s="2" t="s">
        <v>104</v>
      </c>
    </row>
    <row r="100" customFormat="false" ht="15" hidden="false" customHeight="false" outlineLevel="0" collapsed="false">
      <c r="A100" s="5" t="s">
        <v>105</v>
      </c>
      <c r="B100" s="29" t="n">
        <f aca="false">M87</f>
        <v>2430.73960417225</v>
      </c>
      <c r="C100" s="7" t="s">
        <v>34</v>
      </c>
      <c r="D100" s="2" t="s">
        <v>106</v>
      </c>
    </row>
  </sheetData>
  <conditionalFormatting sqref="J8:J27">
    <cfRule type="cellIs" priority="2" operator="equal" aboveAverage="0" equalAverage="0" bottom="0" percent="0" rank="0" text="" dxfId="0">
      <formula>"Plant"</formula>
    </cfRule>
    <cfRule type="cellIs" priority="3" operator="equal" aboveAverage="0" equalAverage="0" bottom="0" percent="0" rank="0" text="" dxfId="1">
      <formula>"Stop"</formula>
    </cfRule>
  </conditionalFormatting>
  <conditionalFormatting sqref="J33:J52">
    <cfRule type="cellIs" priority="4" operator="equal" aboveAverage="0" equalAverage="0" bottom="0" percent="0" rank="0" text="" dxfId="0">
      <formula>"Plant"</formula>
    </cfRule>
    <cfRule type="cellIs" priority="5" operator="equal" aboveAverage="0" equalAverage="0" bottom="0" percent="0" rank="0" text="" dxfId="1">
      <formula>"Stop"</formula>
    </cfRule>
  </conditionalFormatting>
  <conditionalFormatting sqref="J58:J87">
    <cfRule type="cellIs" priority="6" operator="equal" aboveAverage="0" equalAverage="0" bottom="0" percent="0" rank="0" text="" dxfId="0">
      <formula>"Plant"</formula>
    </cfRule>
    <cfRule type="cellIs" priority="7" operator="equal" aboveAverage="0" equalAverage="0" bottom="0" percent="0" rank="0" text="" dxfId="1">
      <formula>"Stop"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B39" activeCellId="0" sqref="B39"/>
    </sheetView>
  </sheetViews>
  <sheetFormatPr defaultColWidth="8.8320312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4"/>
    <col collapsed="false" customWidth="true" hidden="false" outlineLevel="0" max="4" min="4" style="0" width="78"/>
    <col collapsed="false" customWidth="true" hidden="false" outlineLevel="0" max="5" min="5" style="0" width="20"/>
    <col collapsed="false" customWidth="true" hidden="false" outlineLevel="0" max="6" min="6" style="0" width="22"/>
    <col collapsed="false" customWidth="true" hidden="false" outlineLevel="0" max="7" min="7" style="0" width="20"/>
  </cols>
  <sheetData>
    <row r="1" customFormat="false" ht="18.75" hidden="false" customHeight="true" outlineLevel="0" collapsed="false">
      <c r="A1" s="1" t="s">
        <v>107</v>
      </c>
    </row>
    <row r="2" customFormat="false" ht="15" hidden="false" customHeight="false" outlineLevel="0" collapsed="false">
      <c r="A2" s="2" t="s">
        <v>108</v>
      </c>
    </row>
    <row r="4" customFormat="false" ht="15" hidden="false" customHeight="false" outlineLevel="0" collapsed="false">
      <c r="A4" s="3" t="s">
        <v>109</v>
      </c>
    </row>
    <row r="5" customFormat="false" ht="15" hidden="false" customHeight="false" outlineLevel="0" collapsed="false">
      <c r="A5" s="4" t="s">
        <v>87</v>
      </c>
      <c r="B5" s="4" t="s">
        <v>4</v>
      </c>
      <c r="C5" s="4" t="s">
        <v>5</v>
      </c>
      <c r="D5" s="4" t="s">
        <v>110</v>
      </c>
    </row>
    <row r="6" customFormat="false" ht="15" hidden="false" customHeight="false" outlineLevel="0" collapsed="false">
      <c r="A6" s="5" t="s">
        <v>111</v>
      </c>
      <c r="B6" s="27" t="n">
        <f aca="false">TOM_BEDS</f>
        <v>10</v>
      </c>
      <c r="C6" s="7" t="s">
        <v>25</v>
      </c>
      <c r="D6" s="2" t="s">
        <v>112</v>
      </c>
    </row>
    <row r="7" customFormat="false" ht="15" hidden="false" customHeight="false" outlineLevel="0" collapsed="false">
      <c r="A7" s="5" t="s">
        <v>113</v>
      </c>
      <c r="B7" s="27" t="n">
        <f aca="false">CAR_BEDS</f>
        <v>20</v>
      </c>
      <c r="C7" s="7" t="s">
        <v>25</v>
      </c>
      <c r="D7" s="2" t="s">
        <v>114</v>
      </c>
    </row>
    <row r="8" customFormat="false" ht="15" hidden="false" customHeight="false" outlineLevel="0" collapsed="false">
      <c r="A8" s="5" t="s">
        <v>115</v>
      </c>
      <c r="B8" s="27" t="n">
        <f aca="false">MES_BEDS</f>
        <v>30</v>
      </c>
      <c r="C8" s="7" t="s">
        <v>25</v>
      </c>
      <c r="D8" s="2" t="s">
        <v>116</v>
      </c>
    </row>
    <row r="9" customFormat="false" ht="15" hidden="false" customHeight="false" outlineLevel="0" collapsed="false">
      <c r="A9" s="5" t="s">
        <v>117</v>
      </c>
      <c r="B9" s="27" t="n">
        <f aca="false">OUT_TOM_BEDS+OUT_CAR_BEDS+OUT_MES_BEDS</f>
        <v>60</v>
      </c>
      <c r="C9" s="7" t="s">
        <v>25</v>
      </c>
      <c r="D9" s="2" t="s">
        <v>118</v>
      </c>
    </row>
    <row r="10" customFormat="false" ht="15" hidden="false" customHeight="false" outlineLevel="0" collapsed="false">
      <c r="A10" s="5" t="s">
        <v>119</v>
      </c>
      <c r="B10" s="27" t="n">
        <f aca="false">FARM_BED_CAP-OUT_BEDS_USED</f>
        <v>4</v>
      </c>
      <c r="C10" s="7" t="s">
        <v>25</v>
      </c>
      <c r="D10" s="2" t="s">
        <v>120</v>
      </c>
    </row>
    <row r="12" customFormat="false" ht="15" hidden="false" customHeight="false" outlineLevel="0" collapsed="false">
      <c r="A12" s="3" t="s">
        <v>121</v>
      </c>
    </row>
    <row r="13" customFormat="false" ht="15" hidden="false" customHeight="false" outlineLevel="0" collapsed="false">
      <c r="A13" s="4" t="s">
        <v>87</v>
      </c>
      <c r="B13" s="4" t="s">
        <v>4</v>
      </c>
      <c r="C13" s="4" t="s">
        <v>5</v>
      </c>
      <c r="D13" s="4" t="s">
        <v>110</v>
      </c>
    </row>
    <row r="14" customFormat="false" ht="15" hidden="false" customHeight="false" outlineLevel="0" collapsed="false">
      <c r="A14" s="0" t="s">
        <v>122</v>
      </c>
      <c r="B14" s="17" t="n">
        <f aca="false">TOM_BEDS*TOM_HPB*WEEKS*(1+TOM_DIM)^TOM_BEDS</f>
        <v>2334.36821409</v>
      </c>
      <c r="C14" s="7" t="s">
        <v>123</v>
      </c>
      <c r="D14" s="2" t="s">
        <v>124</v>
      </c>
    </row>
    <row r="15" customFormat="false" ht="15" hidden="false" customHeight="false" outlineLevel="0" collapsed="false">
      <c r="A15" s="0" t="s">
        <v>125</v>
      </c>
      <c r="B15" s="17" t="n">
        <f aca="false">CAR_BEDS*CAR_HPB*WEEKS*(1+CAR_DIM)^CAR_BEDS</f>
        <v>983.169864174237</v>
      </c>
      <c r="C15" s="7" t="s">
        <v>123</v>
      </c>
      <c r="D15" s="2" t="s">
        <v>124</v>
      </c>
    </row>
    <row r="16" customFormat="false" ht="15" hidden="false" customHeight="false" outlineLevel="0" collapsed="false">
      <c r="A16" s="0" t="s">
        <v>126</v>
      </c>
      <c r="B16" s="17" t="n">
        <f aca="false">MES_BEDS*MES_HPB*WEEKS*(1+MES_DIM)^MES_BEDS</f>
        <v>1959.67803600965</v>
      </c>
      <c r="C16" s="7" t="s">
        <v>123</v>
      </c>
      <c r="D16" s="2" t="s">
        <v>124</v>
      </c>
    </row>
    <row r="17" customFormat="false" ht="15" hidden="false" customHeight="false" outlineLevel="0" collapsed="false">
      <c r="A17" s="5" t="s">
        <v>127</v>
      </c>
      <c r="B17" s="29" t="n">
        <f aca="false">B14+B15+B16</f>
        <v>5277.21611427389</v>
      </c>
      <c r="C17" s="7" t="s">
        <v>123</v>
      </c>
      <c r="D17" s="2" t="s">
        <v>128</v>
      </c>
    </row>
    <row r="18" customFormat="false" ht="15" hidden="false" customHeight="false" outlineLevel="0" collapsed="false">
      <c r="A18" s="5" t="s">
        <v>129</v>
      </c>
      <c r="B18" s="29" t="n">
        <f aca="false">MIN(OUT_TOTAL_HOURS,PERM_HOURS)</f>
        <v>720</v>
      </c>
      <c r="C18" s="7" t="s">
        <v>123</v>
      </c>
      <c r="D18" s="2" t="s">
        <v>130</v>
      </c>
    </row>
    <row r="19" customFormat="false" ht="15" hidden="false" customHeight="false" outlineLevel="0" collapsed="false">
      <c r="A19" s="5" t="s">
        <v>131</v>
      </c>
      <c r="B19" s="29" t="n">
        <f aca="false">MAX(0,OUT_TOTAL_HOURS-PERM_HOURS)</f>
        <v>4557.21611427389</v>
      </c>
      <c r="C19" s="7" t="s">
        <v>123</v>
      </c>
      <c r="D19" s="2" t="s">
        <v>132</v>
      </c>
    </row>
    <row r="20" customFormat="false" ht="15" hidden="false" customHeight="false" outlineLevel="0" collapsed="false">
      <c r="A20" s="5" t="s">
        <v>133</v>
      </c>
      <c r="B20" s="27" t="n">
        <f aca="false">ROUNDUP(OUT_TEMP_HOURS/TEMP_WORKER_HRS,0)</f>
        <v>4</v>
      </c>
      <c r="C20" s="7" t="s">
        <v>21</v>
      </c>
      <c r="D20" s="2" t="s">
        <v>134</v>
      </c>
    </row>
    <row r="21" customFormat="false" ht="15" hidden="false" customHeight="false" outlineLevel="0" collapsed="false">
      <c r="A21" s="0" t="s">
        <v>135</v>
      </c>
      <c r="B21" s="19" t="n">
        <f aca="false">OUT_PERM_HOURS*PERM_RATE</f>
        <v>25000</v>
      </c>
      <c r="C21" s="7" t="s">
        <v>97</v>
      </c>
      <c r="D21" s="2" t="s">
        <v>136</v>
      </c>
    </row>
    <row r="22" customFormat="false" ht="15" hidden="false" customHeight="false" outlineLevel="0" collapsed="false">
      <c r="A22" s="0" t="s">
        <v>137</v>
      </c>
      <c r="B22" s="19" t="n">
        <f aca="false">OUT_TEMP_HOURS*TEMP_RATE</f>
        <v>79118.335317255</v>
      </c>
      <c r="C22" s="7" t="s">
        <v>97</v>
      </c>
      <c r="D22" s="2" t="s">
        <v>138</v>
      </c>
    </row>
    <row r="23" customFormat="false" ht="15" hidden="false" customHeight="false" outlineLevel="0" collapsed="false">
      <c r="A23" s="5" t="s">
        <v>139</v>
      </c>
      <c r="B23" s="14" t="n">
        <f aca="false">IF(OUT_TOTAL_HOURS=0,0,OUT_LABOR_COST/OUT_TOTAL_HOURS)</f>
        <v>19.7297842390108</v>
      </c>
      <c r="C23" s="7" t="s">
        <v>59</v>
      </c>
      <c r="D23" s="2" t="s">
        <v>140</v>
      </c>
    </row>
    <row r="25" customFormat="false" ht="15" hidden="false" customHeight="false" outlineLevel="0" collapsed="false">
      <c r="A25" s="3" t="s">
        <v>141</v>
      </c>
    </row>
    <row r="26" customFormat="false" ht="15" hidden="false" customHeight="false" outlineLevel="0" collapsed="false">
      <c r="A26" s="4" t="s">
        <v>87</v>
      </c>
      <c r="B26" s="4" t="s">
        <v>4</v>
      </c>
      <c r="C26" s="4" t="s">
        <v>5</v>
      </c>
      <c r="D26" s="4" t="s">
        <v>110</v>
      </c>
    </row>
    <row r="27" customFormat="false" ht="15" hidden="false" customHeight="false" outlineLevel="0" collapsed="false">
      <c r="A27" s="5" t="s">
        <v>142</v>
      </c>
      <c r="B27" s="28" t="n">
        <f aca="false">SUM(OUT_CROP_REVENUE)</f>
        <v>210880</v>
      </c>
      <c r="C27" s="7" t="s">
        <v>97</v>
      </c>
      <c r="D27" s="2" t="s">
        <v>143</v>
      </c>
    </row>
    <row r="28" customFormat="false" ht="15" hidden="false" customHeight="false" outlineLevel="0" collapsed="false">
      <c r="A28" s="5" t="s">
        <v>144</v>
      </c>
      <c r="B28" s="28" t="n">
        <f aca="false">B21+B22</f>
        <v>104118.335317255</v>
      </c>
      <c r="C28" s="7" t="s">
        <v>97</v>
      </c>
      <c r="D28" s="2" t="s">
        <v>145</v>
      </c>
    </row>
    <row r="29" customFormat="false" ht="15" hidden="false" customHeight="false" outlineLevel="0" collapsed="false">
      <c r="A29" s="5" t="s">
        <v>146</v>
      </c>
      <c r="B29" s="28" t="n">
        <f aca="false">SUM(OUT_CROP_FERT_COST)</f>
        <v>44000</v>
      </c>
      <c r="C29" s="7" t="s">
        <v>97</v>
      </c>
      <c r="D29" s="2" t="s">
        <v>147</v>
      </c>
    </row>
    <row r="30" customFormat="false" ht="15" hidden="false" customHeight="false" outlineLevel="0" collapsed="false">
      <c r="A30" s="5" t="s">
        <v>148</v>
      </c>
      <c r="B30" s="28" t="n">
        <f aca="false">FIXED_COST</f>
        <v>20000</v>
      </c>
      <c r="C30" s="7" t="s">
        <v>97</v>
      </c>
      <c r="D30" s="2" t="s">
        <v>149</v>
      </c>
    </row>
    <row r="31" customFormat="false" ht="15" hidden="false" customHeight="false" outlineLevel="0" collapsed="false">
      <c r="A31" s="5" t="s">
        <v>150</v>
      </c>
      <c r="B31" s="28" t="n">
        <f aca="false">OUT_LABOR_COST+OUT_FERT_COST+OUT_FIXED_COST</f>
        <v>168118.335317255</v>
      </c>
      <c r="C31" s="7" t="s">
        <v>97</v>
      </c>
      <c r="D31" s="2" t="s">
        <v>151</v>
      </c>
    </row>
    <row r="32" customFormat="false" ht="15" hidden="false" customHeight="false" outlineLevel="0" collapsed="false">
      <c r="A32" s="5" t="s">
        <v>152</v>
      </c>
      <c r="B32" s="30" t="n">
        <f aca="false">OUT_REVENUE-OUT_TOTAL_COST</f>
        <v>42761.6646827451</v>
      </c>
      <c r="C32" s="7" t="s">
        <v>97</v>
      </c>
      <c r="D32" s="2" t="s">
        <v>153</v>
      </c>
    </row>
    <row r="34" customFormat="false" ht="15" hidden="false" customHeight="false" outlineLevel="0" collapsed="false">
      <c r="A34" s="3" t="s">
        <v>154</v>
      </c>
    </row>
    <row r="35" customFormat="false" ht="15" hidden="false" customHeight="false" outlineLevel="0" collapsed="false">
      <c r="A35" s="2" t="s">
        <v>155</v>
      </c>
    </row>
    <row r="36" customFormat="false" ht="15" hidden="false" customHeight="false" outlineLevel="0" collapsed="false">
      <c r="A36" s="4" t="s">
        <v>156</v>
      </c>
      <c r="B36" s="4" t="n">
        <v>10</v>
      </c>
      <c r="C36" s="4" t="s">
        <v>157</v>
      </c>
      <c r="D36" s="4" t="s">
        <v>158</v>
      </c>
      <c r="E36" s="4" t="s">
        <v>159</v>
      </c>
      <c r="F36" s="4" t="s">
        <v>160</v>
      </c>
      <c r="G36" s="4" t="s">
        <v>161</v>
      </c>
    </row>
    <row r="37" customFormat="false" ht="15" hidden="false" customHeight="false" outlineLevel="0" collapsed="false">
      <c r="A37" s="31" t="s">
        <v>162</v>
      </c>
      <c r="B37" s="16" t="n">
        <f aca="false">TOM_BEDS</f>
        <v>10</v>
      </c>
      <c r="C37" s="17" t="n">
        <f aca="false">B14</f>
        <v>2334.36821409</v>
      </c>
      <c r="D37" s="19" t="n">
        <f aca="false">TOM_BEDS*TOM_PRICE</f>
        <v>88000</v>
      </c>
      <c r="E37" s="19" t="n">
        <f aca="false">TOM_BEDS*TOM_FERT</f>
        <v>8800</v>
      </c>
      <c r="F37" s="19" t="n">
        <f aca="false">C37*OUT_BLENDED_RATE</f>
        <v>46056.5811984008</v>
      </c>
      <c r="G37" s="19" t="n">
        <f aca="false">D37-E37-F37</f>
        <v>33143.4188015992</v>
      </c>
    </row>
    <row r="38" customFormat="false" ht="15" hidden="false" customHeight="false" outlineLevel="0" collapsed="false">
      <c r="A38" s="31" t="s">
        <v>163</v>
      </c>
      <c r="B38" s="16" t="n">
        <f aca="false">CAR_BEDS</f>
        <v>20</v>
      </c>
      <c r="C38" s="17" t="n">
        <f aca="false">B15</f>
        <v>983.169864174237</v>
      </c>
      <c r="D38" s="19" t="n">
        <f aca="false">CAR_BEDS*CAR_PRICE</f>
        <v>41880</v>
      </c>
      <c r="E38" s="19" t="n">
        <f aca="false">CAR_BEDS*CAR_FERT</f>
        <v>8800</v>
      </c>
      <c r="F38" s="19" t="n">
        <f aca="false">C38*OUT_BLENDED_RATE</f>
        <v>19397.7292904553</v>
      </c>
      <c r="G38" s="19" t="n">
        <f aca="false">D38-E38-F38</f>
        <v>13682.2707095447</v>
      </c>
    </row>
    <row r="39" customFormat="false" ht="15" hidden="false" customHeight="false" outlineLevel="0" collapsed="false">
      <c r="A39" s="31" t="s">
        <v>164</v>
      </c>
      <c r="B39" s="16" t="n">
        <f aca="false">MES_BEDS</f>
        <v>30</v>
      </c>
      <c r="C39" s="17" t="n">
        <f aca="false">B16</f>
        <v>1959.67803600965</v>
      </c>
      <c r="D39" s="19" t="n">
        <f aca="false">MES_BEDS*MES_PRICE</f>
        <v>81000</v>
      </c>
      <c r="E39" s="19" t="n">
        <f aca="false">MES_BEDS*MES_FERT</f>
        <v>26400</v>
      </c>
      <c r="F39" s="19" t="n">
        <f aca="false">C39*OUT_BLENDED_RATE</f>
        <v>38664.0248283989</v>
      </c>
      <c r="G39" s="19" t="n">
        <f aca="false">D39-E39-F39</f>
        <v>15935.9751716011</v>
      </c>
    </row>
    <row r="40" customFormat="false" ht="15" hidden="false" customHeight="false" outlineLevel="0" collapsed="false">
      <c r="A40" s="5" t="s">
        <v>165</v>
      </c>
      <c r="B40" s="32" t="n">
        <f aca="false">SUM(B37:B39)</f>
        <v>60</v>
      </c>
      <c r="C40" s="33" t="n">
        <f aca="false">SUM(C37:C39)</f>
        <v>5277.21611427389</v>
      </c>
      <c r="D40" s="34" t="n">
        <f aca="false">SUM(D37:D39)</f>
        <v>210880</v>
      </c>
      <c r="E40" s="34" t="n">
        <f aca="false">SUM(E37:E39)</f>
        <v>44000</v>
      </c>
      <c r="F40" s="34" t="n">
        <f aca="false">SUM(F37:F39)</f>
        <v>104118.335317255</v>
      </c>
      <c r="G40" s="34" t="n">
        <f aca="false">SUM(G37:G39)</f>
        <v>62761.664682745</v>
      </c>
    </row>
    <row r="41" customFormat="false" ht="15" hidden="false" customHeight="false" outlineLevel="0" collapsed="false">
      <c r="A41" s="0" t="s">
        <v>166</v>
      </c>
      <c r="G41" s="19" t="n">
        <f aca="false">-OUT_FIXED_COST</f>
        <v>-20000</v>
      </c>
    </row>
    <row r="42" customFormat="false" ht="15" hidden="false" customHeight="false" outlineLevel="0" collapsed="false">
      <c r="A42" s="5" t="s">
        <v>167</v>
      </c>
      <c r="G42" s="35" t="n">
        <f aca="false">G40+G41</f>
        <v>42761.664682745</v>
      </c>
    </row>
    <row r="44" customFormat="false" ht="15" hidden="false" customHeight="false" outlineLevel="0" collapsed="false">
      <c r="A44" s="5" t="s">
        <v>168</v>
      </c>
      <c r="B44" s="36" t="str">
        <f aca="false">IF(AND(ABS(SUM(OUT_CROP_LABOR_COST)-OUT_LABOR_COST)&lt;0.000001,ABS(SUM(OUT_CROP_PROFIT)-OUT_FIXED_COST-OUT_SEASON_PROFIT)&lt;0.000001),"OK","VIOLATED")</f>
        <v>OK</v>
      </c>
      <c r="D44" s="2" t="s">
        <v>169</v>
      </c>
    </row>
    <row r="46" customFormat="false" ht="15" hidden="false" customHeight="false" outlineLevel="0" collapsed="false">
      <c r="A46" s="3" t="s">
        <v>170</v>
      </c>
    </row>
    <row r="47" customFormat="false" ht="15" hidden="false" customHeight="false" outlineLevel="0" collapsed="false">
      <c r="A47" s="5" t="s">
        <v>171</v>
      </c>
      <c r="B47" s="7" t="s">
        <v>172</v>
      </c>
    </row>
    <row r="48" customFormat="false" ht="15" hidden="false" customHeight="false" outlineLevel="0" collapsed="false">
      <c r="A48" s="5" t="s">
        <v>173</v>
      </c>
      <c r="B48" s="7" t="s">
        <v>174</v>
      </c>
    </row>
    <row r="49" customFormat="false" ht="15" hidden="false" customHeight="false" outlineLevel="0" collapsed="false">
      <c r="A49" s="5" t="s">
        <v>175</v>
      </c>
      <c r="B49" s="7" t="s">
        <v>176</v>
      </c>
    </row>
    <row r="50" customFormat="false" ht="15" hidden="false" customHeight="false" outlineLevel="0" collapsed="false">
      <c r="A50" s="5" t="s">
        <v>177</v>
      </c>
      <c r="B50" s="7" t="s">
        <v>178</v>
      </c>
    </row>
    <row r="51" customFormat="false" ht="15" hidden="false" customHeight="false" outlineLevel="0" collapsed="false">
      <c r="A51" s="5" t="s">
        <v>179</v>
      </c>
      <c r="B51" s="7" t="s">
        <v>180</v>
      </c>
    </row>
    <row r="52" customFormat="false" ht="15" hidden="false" customHeight="false" outlineLevel="0" collapsed="false">
      <c r="A52" s="5" t="s">
        <v>181</v>
      </c>
      <c r="B52" s="7" t="s">
        <v>182</v>
      </c>
    </row>
    <row r="53" customFormat="false" ht="15" hidden="false" customHeight="false" outlineLevel="0" collapsed="false">
      <c r="A53" s="5" t="s">
        <v>183</v>
      </c>
      <c r="B53" s="7" t="s">
        <v>184</v>
      </c>
    </row>
    <row r="54" customFormat="false" ht="15" hidden="false" customHeight="false" outlineLevel="0" collapsed="false">
      <c r="A54" s="5" t="s">
        <v>185</v>
      </c>
      <c r="B54" s="7" t="s">
        <v>186</v>
      </c>
    </row>
    <row r="55" customFormat="false" ht="15" hidden="false" customHeight="false" outlineLevel="0" collapsed="false">
      <c r="A55" s="5" t="s">
        <v>187</v>
      </c>
      <c r="B55" s="7" t="s">
        <v>188</v>
      </c>
    </row>
    <row r="56" customFormat="false" ht="15" hidden="false" customHeight="false" outlineLevel="0" collapsed="false">
      <c r="A56" s="5" t="s">
        <v>189</v>
      </c>
      <c r="B56" s="7" t="s">
        <v>190</v>
      </c>
    </row>
    <row r="57" customFormat="false" ht="15" hidden="false" customHeight="false" outlineLevel="0" collapsed="false">
      <c r="A57" s="5" t="s">
        <v>191</v>
      </c>
      <c r="B57" s="7" t="s">
        <v>192</v>
      </c>
    </row>
    <row r="58" customFormat="false" ht="15" hidden="false" customHeight="false" outlineLevel="0" collapsed="false">
      <c r="A58" s="5" t="s">
        <v>193</v>
      </c>
      <c r="B58" s="7"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32" activeCellId="0" sqref="A32"/>
    </sheetView>
  </sheetViews>
  <sheetFormatPr defaultColWidth="8.83203125" defaultRowHeight="15" zeroHeight="false" outlineLevelRow="0" outlineLevelCol="0"/>
  <cols>
    <col collapsed="false" customWidth="true" hidden="false" outlineLevel="0" max="1" min="1" style="0" width="46"/>
    <col collapsed="false" customWidth="true" hidden="false" outlineLevel="0" max="2" min="2" style="0" width="22"/>
    <col collapsed="false" customWidth="true" hidden="false" outlineLevel="0" max="3" min="3" style="0" width="56"/>
    <col collapsed="false" customWidth="true" hidden="false" outlineLevel="0" max="4" min="4" style="0" width="86"/>
  </cols>
  <sheetData>
    <row r="1" customFormat="false" ht="18.75" hidden="false" customHeight="true" outlineLevel="0" collapsed="false">
      <c r="A1" s="1" t="s">
        <v>195</v>
      </c>
    </row>
    <row r="2" customFormat="false" ht="15" hidden="false" customHeight="false" outlineLevel="0" collapsed="false">
      <c r="A2" s="2" t="s">
        <v>196</v>
      </c>
    </row>
    <row r="4" customFormat="false" ht="15" hidden="false" customHeight="false" outlineLevel="0" collapsed="false">
      <c r="A4" s="3" t="s">
        <v>197</v>
      </c>
    </row>
    <row r="5" customFormat="false" ht="15" hidden="false" customHeight="false" outlineLevel="0" collapsed="false">
      <c r="A5" s="4" t="s">
        <v>198</v>
      </c>
      <c r="B5" s="4" t="s">
        <v>199</v>
      </c>
      <c r="C5" s="4" t="s">
        <v>200</v>
      </c>
      <c r="D5" s="4" t="s">
        <v>201</v>
      </c>
    </row>
    <row r="6" customFormat="false" ht="15" hidden="false" customHeight="false" outlineLevel="0" collapsed="false">
      <c r="A6" s="0" t="s">
        <v>202</v>
      </c>
      <c r="B6" s="37" t="str">
        <f aca="false">IF(TOM_BEDS&lt;=TOM_CAP,"OK","VIOLATED")</f>
        <v>OK</v>
      </c>
      <c r="C6" s="7" t="s">
        <v>203</v>
      </c>
      <c r="D6" s="2"/>
    </row>
    <row r="7" customFormat="false" ht="15" hidden="false" customHeight="false" outlineLevel="0" collapsed="false">
      <c r="A7" s="0" t="s">
        <v>204</v>
      </c>
      <c r="B7" s="37" t="str">
        <f aca="false">IF(CAR_BEDS&lt;=CAR_CAP,"OK","VIOLATED")</f>
        <v>OK</v>
      </c>
      <c r="C7" s="7" t="s">
        <v>205</v>
      </c>
      <c r="D7" s="2"/>
    </row>
    <row r="8" customFormat="false" ht="15" hidden="false" customHeight="false" outlineLevel="0" collapsed="false">
      <c r="A8" s="0" t="s">
        <v>206</v>
      </c>
      <c r="B8" s="37" t="str">
        <f aca="false">IF(MES_BEDS&lt;=MES_CAP,"OK","VIOLATED")</f>
        <v>OK</v>
      </c>
      <c r="C8" s="7" t="s">
        <v>207</v>
      </c>
      <c r="D8" s="2"/>
    </row>
    <row r="9" customFormat="false" ht="15" hidden="false" customHeight="false" outlineLevel="0" collapsed="false">
      <c r="A9" s="0" t="s">
        <v>208</v>
      </c>
      <c r="B9" s="37" t="str">
        <f aca="false">IF(OUT_BEDS_USED&lt;=FARM_BED_CAP,"OK","VIOLATED")</f>
        <v>OK</v>
      </c>
      <c r="C9" s="7" t="s">
        <v>209</v>
      </c>
      <c r="D9" s="2"/>
    </row>
    <row r="10" customFormat="false" ht="15" hidden="false" customHeight="false" outlineLevel="0" collapsed="false">
      <c r="A10" s="0" t="s">
        <v>210</v>
      </c>
      <c r="B10" s="37" t="str">
        <f aca="false">IF(OUT_TEMP_WORKERS&lt;=TEMP_WORKERS_MAX,"OK","VIOLATED")</f>
        <v>OK</v>
      </c>
      <c r="C10" s="7" t="s">
        <v>211</v>
      </c>
      <c r="D10" s="2"/>
    </row>
    <row r="11" customFormat="false" ht="15" hidden="false" customHeight="false" outlineLevel="0" collapsed="false">
      <c r="A11" s="0" t="s">
        <v>212</v>
      </c>
      <c r="B11" s="37" t="str">
        <f aca="false">IF(AND(TOM_BEDS=INT(TOM_BEDS),CAR_BEDS=INT(CAR_BEDS),MES_BEDS=INT(MES_BEDS)),"OK","VIOLATED")</f>
        <v>OK</v>
      </c>
      <c r="C11" s="7" t="s">
        <v>213</v>
      </c>
      <c r="D11" s="2"/>
    </row>
    <row r="12" customFormat="false" ht="15" hidden="false" customHeight="false" outlineLevel="0" collapsed="false">
      <c r="A12" s="0" t="s">
        <v>214</v>
      </c>
      <c r="B12" s="37" t="str">
        <f aca="false">IF(AND(TOM_BEDS&gt;=0,CAR_BEDS&gt;=0,MES_BEDS&gt;=0),"OK","VIOLATED")</f>
        <v>OK</v>
      </c>
      <c r="C12" s="7" t="s">
        <v>215</v>
      </c>
      <c r="D12" s="2"/>
    </row>
    <row r="14" customFormat="false" ht="15" hidden="false" customHeight="false" outlineLevel="0" collapsed="false">
      <c r="A14" s="5" t="s">
        <v>216</v>
      </c>
      <c r="B14" s="38" t="str">
        <f aca="false">IF(COUNTIF($B$6:$B$12,"VIOLATED")=0,"OK","VIOLATED")</f>
        <v>OK</v>
      </c>
      <c r="D14" s="2" t="s">
        <v>217</v>
      </c>
    </row>
    <row r="16" customFormat="false" ht="15" hidden="false" customHeight="false" outlineLevel="0" collapsed="false">
      <c r="A16" s="3" t="s">
        <v>218</v>
      </c>
    </row>
    <row r="17" customFormat="false" ht="15" hidden="false" customHeight="false" outlineLevel="0" collapsed="false">
      <c r="A17" s="4" t="s">
        <v>219</v>
      </c>
      <c r="B17" s="4" t="s">
        <v>220</v>
      </c>
      <c r="C17" s="4" t="s">
        <v>221</v>
      </c>
      <c r="D17" s="4" t="s">
        <v>201</v>
      </c>
    </row>
    <row r="18" customFormat="false" ht="15" hidden="false" customHeight="false" outlineLevel="0" collapsed="false">
      <c r="A18" s="0" t="s">
        <v>222</v>
      </c>
      <c r="B18" s="17" t="n">
        <f aca="false">INDEX('Marginal Analysis'!$B$8:$B$27,1)</f>
        <v>99</v>
      </c>
      <c r="C18" s="39" t="n">
        <v>99</v>
      </c>
      <c r="D18" s="2" t="s">
        <v>223</v>
      </c>
    </row>
    <row r="19" customFormat="false" ht="15" hidden="false" customHeight="false" outlineLevel="0" collapsed="false">
      <c r="A19" s="0" t="s">
        <v>224</v>
      </c>
      <c r="B19" s="37" t="str">
        <f aca="false">IF(ABS(B18-C18)&lt;0.000000001,"OK","VIOLATED")</f>
        <v>OK</v>
      </c>
      <c r="C19" s="7" t="s">
        <v>225</v>
      </c>
      <c r="D19" s="2"/>
    </row>
    <row r="21" customFormat="false" ht="15" hidden="false" customHeight="false" outlineLevel="0" collapsed="false">
      <c r="A21" s="3" t="s">
        <v>226</v>
      </c>
    </row>
    <row r="22" customFormat="false" ht="15" hidden="false" customHeight="false" outlineLevel="0" collapsed="false">
      <c r="A22" s="2" t="s">
        <v>227</v>
      </c>
    </row>
    <row r="23" customFormat="false" ht="15" hidden="false" customHeight="false" outlineLevel="0" collapsed="false">
      <c r="A23" s="4" t="s">
        <v>219</v>
      </c>
      <c r="B23" s="4" t="s">
        <v>4</v>
      </c>
      <c r="C23" s="4" t="s">
        <v>221</v>
      </c>
      <c r="D23" s="4" t="s">
        <v>201</v>
      </c>
    </row>
    <row r="24" customFormat="false" ht="15" hidden="false" customHeight="false" outlineLevel="0" collapsed="false">
      <c r="A24" s="0" t="s">
        <v>228</v>
      </c>
      <c r="B24" s="19" t="n">
        <f aca="false">INDEX('Marginal Analysis'!$G$8:$G$27,10)</f>
        <v>8248.58653437501</v>
      </c>
      <c r="D24" s="2" t="s">
        <v>229</v>
      </c>
    </row>
    <row r="25" customFormat="false" ht="15" hidden="false" customHeight="false" outlineLevel="0" collapsed="false">
      <c r="A25" s="0" t="s">
        <v>230</v>
      </c>
      <c r="B25" s="40" t="n">
        <v>8248.59</v>
      </c>
      <c r="D25" s="2" t="s">
        <v>231</v>
      </c>
    </row>
    <row r="26" customFormat="false" ht="15" hidden="false" customHeight="false" outlineLevel="0" collapsed="false">
      <c r="A26" s="0" t="s">
        <v>232</v>
      </c>
      <c r="B26" s="37" t="str">
        <f aca="false">IF(AND(ISNUMBER(B25),ROUND(B24,0)=ROUND(B25,0)),"OK","VIOLATED")</f>
        <v>OK</v>
      </c>
      <c r="C26" s="7" t="s">
        <v>233</v>
      </c>
      <c r="D26" s="2"/>
    </row>
    <row r="28" customFormat="false" ht="15" hidden="false" customHeight="false" outlineLevel="0" collapsed="false">
      <c r="A28" s="3" t="s">
        <v>234</v>
      </c>
    </row>
    <row r="29" customFormat="false" ht="15" hidden="false" customHeight="false" outlineLevel="0" collapsed="false">
      <c r="A29" s="2" t="s">
        <v>235</v>
      </c>
    </row>
    <row r="30" customFormat="false" ht="15" hidden="false" customHeight="false" outlineLevel="0" collapsed="false">
      <c r="A30" s="4" t="s">
        <v>219</v>
      </c>
      <c r="B30" s="4" t="s">
        <v>4</v>
      </c>
      <c r="C30" s="4" t="s">
        <v>221</v>
      </c>
      <c r="D30" s="4" t="s">
        <v>201</v>
      </c>
    </row>
    <row r="31" customFormat="false" ht="15" hidden="false" customHeight="false" outlineLevel="0" collapsed="false">
      <c r="A31" s="0" t="s">
        <v>236</v>
      </c>
      <c r="B31" s="40" t="n">
        <v>42761.66</v>
      </c>
    </row>
    <row r="32" customFormat="false" ht="15" hidden="false" customHeight="false" outlineLevel="0" collapsed="false">
      <c r="A32" s="0" t="s">
        <v>237</v>
      </c>
      <c r="B32" s="40" t="n">
        <v>42761.66</v>
      </c>
      <c r="D32" s="2" t="s">
        <v>238</v>
      </c>
    </row>
    <row r="33" customFormat="false" ht="15" hidden="false" customHeight="false" outlineLevel="0" collapsed="false">
      <c r="A33" s="0" t="s">
        <v>239</v>
      </c>
      <c r="B33" s="37" t="str">
        <f aca="false">IF(AND(ISNUMBER(B31),ISNUMBER(B32),ROUND(B31,0)=ROUND(B32,0)),"OK","VIOLATED")</f>
        <v>OK</v>
      </c>
      <c r="C33" s="7" t="s">
        <v>240</v>
      </c>
      <c r="D33" s="2"/>
    </row>
    <row r="35" customFormat="false" ht="15" hidden="false" customHeight="false" outlineLevel="0" collapsed="false">
      <c r="A35" s="3" t="s">
        <v>241</v>
      </c>
    </row>
    <row r="36" customFormat="false" ht="15" hidden="false" customHeight="false" outlineLevel="0" collapsed="false">
      <c r="A36" s="4" t="s">
        <v>199</v>
      </c>
      <c r="B36" s="4" t="s">
        <v>242</v>
      </c>
      <c r="C36" s="4" t="s">
        <v>243</v>
      </c>
      <c r="D36" s="4" t="s">
        <v>201</v>
      </c>
    </row>
    <row r="37" customFormat="false" ht="15" hidden="false" customHeight="false" outlineLevel="0" collapsed="false">
      <c r="A37" s="0" t="s">
        <v>244</v>
      </c>
      <c r="B37" s="37" t="str">
        <f aca="false">IF(AND(OUT_TOM_BEDS=10,OUT_CAR_BEDS=20,OUT_MES_BEDS=30),"OK","VIOLATED")</f>
        <v>OK</v>
      </c>
      <c r="C37" s="7" t="s">
        <v>245</v>
      </c>
      <c r="D37" s="2" t="str">
        <f aca="false">"Model: "&amp;OUT_TOM_BEDS&amp;" / "&amp;OUT_CAR_BEDS&amp;" / "&amp;OUT_MES_BEDS</f>
        <v>Model: 10 / 20 / 30</v>
      </c>
    </row>
    <row r="38" customFormat="false" ht="15" hidden="false" customHeight="false" outlineLevel="0" collapsed="false">
      <c r="A38" s="0" t="s">
        <v>246</v>
      </c>
      <c r="B38" s="37" t="str">
        <f aca="false">IF(AND(ROUND(OUT_SEASON_PROFIT,0)=42762,OUT_SEASON_PROFIT&lt;=42762),"OK","VIOLATED")</f>
        <v>OK</v>
      </c>
      <c r="C38" s="7" t="s">
        <v>247</v>
      </c>
      <c r="D38" s="2" t="str">
        <f aca="false">"Model: "&amp;TEXT(OUT_SEASON_PROFIT,"$#,##0.00")</f>
        <v>Model: $42,761.66</v>
      </c>
    </row>
    <row r="39" customFormat="false" ht="15" hidden="false" customHeight="false" outlineLevel="0" collapsed="false">
      <c r="A39" s="0" t="s">
        <v>248</v>
      </c>
      <c r="B39" s="37" t="str">
        <f aca="false">IF(AND(OUT_CROSSING_TOM=10,OUT_CROSSING_CAR=10,OUT_CROSSING_MES=6),"OK","VIOLATED")</f>
        <v>OK</v>
      </c>
      <c r="C39" s="7" t="s">
        <v>249</v>
      </c>
      <c r="D39" s="2" t="str">
        <f aca="false">"Model: "&amp;OUT_CROSSING_TOM&amp;" / "&amp;OUT_CROSSING_CAR&amp;" / "&amp;OUT_CROSSING_MES</f>
        <v>Model: 10 / 10 / 6</v>
      </c>
    </row>
    <row r="41" customFormat="false" ht="15" hidden="false" customHeight="false" outlineLevel="0" collapsed="false">
      <c r="A41" s="3" t="s">
        <v>250</v>
      </c>
    </row>
    <row r="42" customFormat="false" ht="15" hidden="false" customHeight="false" outlineLevel="0" collapsed="false">
      <c r="A42" s="4" t="s">
        <v>199</v>
      </c>
      <c r="B42" s="4" t="s">
        <v>242</v>
      </c>
      <c r="C42" s="4" t="s">
        <v>243</v>
      </c>
      <c r="D42" s="4" t="s">
        <v>201</v>
      </c>
    </row>
    <row r="43" customFormat="false" ht="15" hidden="false" customHeight="false" outlineLevel="0" collapsed="false">
      <c r="A43" s="0" t="s">
        <v>251</v>
      </c>
      <c r="B43" s="37" t="str">
        <f aca="false">IF(SUMPRODUCT(--ISERROR('Marginal Analysis'!$B$8:$K$27))+SUMPRODUCT(--ISERROR('Marginal Analysis'!$B$33:$K$52))+SUMPRODUCT(--ISERROR('Marginal Analysis'!$B$58:$K$87))+SUMPRODUCT(--ISERROR(Optimization!$B$5:$B$32))+SUMPRODUCT(--ISERROR(Optimization!$B$37:$G$39))=0,"OK","VIOLATED")</f>
        <v>OK</v>
      </c>
      <c r="C43" s="7" t="s">
        <v>252</v>
      </c>
      <c r="D43" s="2" t="str">
        <f aca="false">"Error cells found: "&amp;(SUMPRODUCT(--ISERROR('Marginal Analysis'!$B$8:$K$27))+SUMPRODUCT(--ISERROR('Marginal Analysis'!$B$33:$K$52))+SUMPRODUCT(--ISERROR('Marginal Analysis'!$B$58:$K$87))+SUMPRODUCT(--ISERROR(Optimization!$B$5:$B$32))+SUMPRODUCT(--ISERROR(Optimization!$B$37:$G$39)))</f>
        <v>Error cells found: 0</v>
      </c>
    </row>
    <row r="44" customFormat="false" ht="15" hidden="false" customHeight="false" outlineLevel="0" collapsed="false">
      <c r="A44" s="0" t="s">
        <v>253</v>
      </c>
      <c r="B44" s="37" t="str">
        <f aca="false">OUT_CONSTRAINTS_OK</f>
        <v>OK</v>
      </c>
      <c r="C44" s="7" t="s">
        <v>254</v>
      </c>
    </row>
    <row r="45" customFormat="false" ht="15" hidden="false" customHeight="false" outlineLevel="0" collapsed="false">
      <c r="A45" s="0" t="s">
        <v>255</v>
      </c>
      <c r="B45" s="37" t="str">
        <f aca="false">OUT_PNL_RECONCILES</f>
        <v>OK</v>
      </c>
      <c r="C45" s="7" t="s">
        <v>256</v>
      </c>
    </row>
    <row r="46" customFormat="false" ht="15" hidden="false" customHeight="false" outlineLevel="0" collapsed="false">
      <c r="A46" s="0" t="s">
        <v>257</v>
      </c>
      <c r="B46" s="37" t="str">
        <f aca="false">IF(AND(ABS(PERM_RATE-FARMER_SALARY/2/PERM_HOURS)&lt;0.000000001,ABS(TEMP_RATE-TEMP_WORKER_PAY/TEMP_WORKER_HRS)&lt;0.000000001,ABS(PERM_RATE-34.72)&gt;0.0001),"OK","VIOLATED")</f>
        <v>OK</v>
      </c>
      <c r="C46" s="7" t="s">
        <v>258</v>
      </c>
      <c r="D46" s="2" t="s">
        <v>259</v>
      </c>
    </row>
    <row r="48" customFormat="false" ht="15" hidden="false" customHeight="false" outlineLevel="0" collapsed="false">
      <c r="A48" s="3" t="s">
        <v>260</v>
      </c>
    </row>
    <row r="49" customFormat="false" ht="15" hidden="false" customHeight="false" outlineLevel="0" collapsed="false">
      <c r="A49" s="4" t="s">
        <v>199</v>
      </c>
      <c r="B49" s="4" t="s">
        <v>242</v>
      </c>
      <c r="C49" s="4" t="s">
        <v>243</v>
      </c>
      <c r="D49" s="4" t="s">
        <v>201</v>
      </c>
    </row>
    <row r="50" customFormat="false" ht="15" hidden="false" customHeight="false" outlineLevel="0" collapsed="false">
      <c r="A50" s="0" t="s">
        <v>261</v>
      </c>
      <c r="B50" s="37" t="str">
        <f aca="false">IF(COUNTIF('Marginal Analysis'!$J$8:$J$27,"Plant")=IFERROR(MATCH("Stop",'Marginal Analysis'!$J$8:$J$27,0),20+1)-1,"OK","VIOLATED")</f>
        <v>OK</v>
      </c>
      <c r="C50" s="7" t="s">
        <v>262</v>
      </c>
    </row>
    <row r="51" customFormat="false" ht="15" hidden="false" customHeight="false" outlineLevel="0" collapsed="false">
      <c r="A51" s="0" t="s">
        <v>263</v>
      </c>
      <c r="B51" s="37" t="str">
        <f aca="false">IF(COUNTIF('Marginal Analysis'!$J$33:$J$52,"Plant")=IFERROR(MATCH("Stop",'Marginal Analysis'!$J$33:$J$52,0),20+1)-1,"OK","VIOLATED")</f>
        <v>OK</v>
      </c>
      <c r="C51" s="7" t="s">
        <v>262</v>
      </c>
      <c r="D51" s="2" t="s">
        <v>264</v>
      </c>
    </row>
    <row r="52" customFormat="false" ht="15" hidden="false" customHeight="false" outlineLevel="0" collapsed="false">
      <c r="A52" s="0" t="s">
        <v>265</v>
      </c>
      <c r="B52" s="37" t="str">
        <f aca="false">IF(COUNTIF('Marginal Analysis'!$J$58:$J$87,"Plant")=IFERROR(MATCH("Stop",'Marginal Analysis'!$J$58:$J$87,0),30+1)-1,"OK","VIOLATED")</f>
        <v>OK</v>
      </c>
      <c r="C52" s="7" t="s">
        <v>262</v>
      </c>
      <c r="D52" s="2" t="s">
        <v>266</v>
      </c>
    </row>
    <row r="55" customFormat="false" ht="15" hidden="false" customHeight="false" outlineLevel="0" collapsed="false">
      <c r="A55" s="3" t="s">
        <v>267</v>
      </c>
    </row>
    <row r="56" customFormat="false" ht="15" hidden="false" customHeight="false" outlineLevel="0" collapsed="false">
      <c r="A56" s="4" t="s">
        <v>87</v>
      </c>
      <c r="B56" s="4" t="s">
        <v>4</v>
      </c>
      <c r="C56" s="4" t="s">
        <v>5</v>
      </c>
      <c r="D56" s="4" t="s">
        <v>201</v>
      </c>
    </row>
    <row r="57" customFormat="false" ht="15" hidden="false" customHeight="false" outlineLevel="0" collapsed="false">
      <c r="A57" s="0" t="s">
        <v>93</v>
      </c>
      <c r="B57" s="16" t="n">
        <f aca="false">OUT_TOM_DIP_BED</f>
        <v>6</v>
      </c>
      <c r="C57" s="7" t="s">
        <v>94</v>
      </c>
      <c r="D57" s="2" t="s">
        <v>268</v>
      </c>
    </row>
    <row r="58" customFormat="false" ht="15" hidden="false" customHeight="false" outlineLevel="0" collapsed="false">
      <c r="A58" s="0" t="s">
        <v>96</v>
      </c>
      <c r="B58" s="19" t="n">
        <f aca="false">OUT_TOM_DIP_SIZE</f>
        <v>2754.584375</v>
      </c>
      <c r="C58" s="7" t="s">
        <v>97</v>
      </c>
    </row>
  </sheetData>
  <conditionalFormatting sqref="B6:B12">
    <cfRule type="cellIs" priority="2" operator="equal" aboveAverage="0" equalAverage="0" bottom="0" percent="0" rank="0" text="" dxfId="0">
      <formula>"OK"</formula>
    </cfRule>
    <cfRule type="cellIs" priority="3" operator="equal" aboveAverage="0" equalAverage="0" bottom="0" percent="0" rank="0" text="" dxfId="1">
      <formula>"VIOLATED"</formula>
    </cfRule>
  </conditionalFormatting>
  <conditionalFormatting sqref="B14">
    <cfRule type="cellIs" priority="4" operator="equal" aboveAverage="0" equalAverage="0" bottom="0" percent="0" rank="0" text="" dxfId="0">
      <formula>"OK"</formula>
    </cfRule>
    <cfRule type="cellIs" priority="5" operator="equal" aboveAverage="0" equalAverage="0" bottom="0" percent="0" rank="0" text="" dxfId="1">
      <formula>"VIOLATED"</formula>
    </cfRule>
  </conditionalFormatting>
  <conditionalFormatting sqref="B19">
    <cfRule type="cellIs" priority="6" operator="equal" aboveAverage="0" equalAverage="0" bottom="0" percent="0" rank="0" text="" dxfId="0">
      <formula>"OK"</formula>
    </cfRule>
    <cfRule type="cellIs" priority="7" operator="equal" aboveAverage="0" equalAverage="0" bottom="0" percent="0" rank="0" text="" dxfId="1">
      <formula>"VIOLATED"</formula>
    </cfRule>
  </conditionalFormatting>
  <conditionalFormatting sqref="B26">
    <cfRule type="cellIs" priority="8" operator="equal" aboveAverage="0" equalAverage="0" bottom="0" percent="0" rank="0" text="" dxfId="0">
      <formula>"OK"</formula>
    </cfRule>
    <cfRule type="cellIs" priority="9" operator="equal" aboveAverage="0" equalAverage="0" bottom="0" percent="0" rank="0" text="" dxfId="1">
      <formula>"VIOLATED"</formula>
    </cfRule>
  </conditionalFormatting>
  <conditionalFormatting sqref="B33">
    <cfRule type="cellIs" priority="10" operator="equal" aboveAverage="0" equalAverage="0" bottom="0" percent="0" rank="0" text="" dxfId="0">
      <formula>"OK"</formula>
    </cfRule>
    <cfRule type="cellIs" priority="11" operator="equal" aboveAverage="0" equalAverage="0" bottom="0" percent="0" rank="0" text="" dxfId="1">
      <formula>"VIOLATED"</formula>
    </cfRule>
  </conditionalFormatting>
  <conditionalFormatting sqref="B37:B39">
    <cfRule type="cellIs" priority="12" operator="equal" aboveAverage="0" equalAverage="0" bottom="0" percent="0" rank="0" text="" dxfId="0">
      <formula>"OK"</formula>
    </cfRule>
    <cfRule type="cellIs" priority="13" operator="equal" aboveAverage="0" equalAverage="0" bottom="0" percent="0" rank="0" text="" dxfId="1">
      <formula>"VIOLATED"</formula>
    </cfRule>
  </conditionalFormatting>
  <conditionalFormatting sqref="B43:B46">
    <cfRule type="cellIs" priority="14" operator="equal" aboveAverage="0" equalAverage="0" bottom="0" percent="0" rank="0" text="" dxfId="0">
      <formula>"OK"</formula>
    </cfRule>
    <cfRule type="cellIs" priority="15" operator="equal" aboveAverage="0" equalAverage="0" bottom="0" percent="0" rank="0" text="" dxfId="1">
      <formula>"VIOLATED"</formula>
    </cfRule>
  </conditionalFormatting>
  <conditionalFormatting sqref="B50:B52">
    <cfRule type="cellIs" priority="16" operator="equal" aboveAverage="0" equalAverage="0" bottom="0" percent="0" rank="0" text="" dxfId="0">
      <formula>"OK"</formula>
    </cfRule>
    <cfRule type="cellIs" priority="17" operator="equal" aboveAverage="0" equalAverage="0" bottom="0" percent="0" rank="0" text="" dxfId="1">
      <formula>"VIOLATED"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2026-09-09T03:29:30Z</dcterms:created>
  <dc:creator>openpyxl</dc:creator>
  <dc:description/>
  <dc:language>en-US</dc:language>
  <cp:lastModifiedBy>Cori Mackie</cp:lastModifiedBy>
  <dcterms:modified xsi:type="dcterms:W3CDTF">2026-09-25T14:28:53Z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