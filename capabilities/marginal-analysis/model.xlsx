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Marginal Analysis" sheetId="2" state="visible" r:id="rId2"/>
    <sheet name="Optimization" sheetId="3" state="visible" r:id="rId3"/>
    <sheet name="Validation" sheetId="4" state="visible" r:id="rId4"/>
  </sheets>
  <definedNames>
    <definedName name="WEEKS">Inputs!$B$6</definedName>
    <definedName name="PERM_HOURS">Inputs!$B$7</definedName>
    <definedName name="FARMER_SALARY">Inputs!$B$8</definedName>
    <definedName name="TEMP_WORKER_PAY">Inputs!$B$9</definedName>
    <definedName name="TEMP_WORKER_HRS">Inputs!$B$10</definedName>
    <definedName name="TEMP_WORKERS_MAX">Inputs!$B$11</definedName>
    <definedName name="FIXED_COST">Inputs!$B$12</definedName>
    <definedName name="FARM_BED_CAP">Inputs!$B$13</definedName>
    <definedName name="TOM_HPB">Inputs!$B$17</definedName>
    <definedName name="TOM_DIM">Inputs!$B$18</definedName>
    <definedName name="TOM_FERT">Inputs!$B$19</definedName>
    <definedName name="TOM_PRICE">Inputs!$B$20</definedName>
    <definedName name="TOM_CAP">Inputs!$B$21</definedName>
    <definedName name="CAR_HPB">Inputs!$B$22</definedName>
    <definedName name="CAR_DIM">Inputs!$B$23</definedName>
    <definedName name="CAR_FERT">Inputs!$B$24</definedName>
    <definedName name="CAR_PRICE">Inputs!$B$25</definedName>
    <definedName name="CAR_CAP">Inputs!$B$26</definedName>
    <definedName name="MES_HPB">Inputs!$B$27</definedName>
    <definedName name="MES_DIM">Inputs!$B$28</definedName>
    <definedName name="MES_FERT">Inputs!$B$29</definedName>
    <definedName name="MES_PRICE">Inputs!$B$30</definedName>
    <definedName name="MES_CAP">Inputs!$B$31</definedName>
    <definedName name="TOM_BEDS">Inputs!$B$36</definedName>
    <definedName name="CAR_BEDS">Inputs!$B$37</definedName>
    <definedName name="MES_BEDS">Inputs!$B$38</definedName>
    <definedName name="PERM_RATE">Inputs!$B$42</definedName>
    <definedName name="TEMP_RATE">Inputs!$B$43</definedName>
    <definedName name="OUT_CROSSING_TOM">'Marginal Analysis'!$B$92</definedName>
    <definedName name="OUT_CROSSING_CAR">'Marginal Analysis'!$B$93</definedName>
    <definedName name="OUT_CROSSING_MES">'Marginal Analysis'!$B$94</definedName>
    <definedName name="OUT_TOM_DIP_BED">'Marginal Analysis'!$B$95</definedName>
    <definedName name="OUT_TOM_DIP_SIZE">'Marginal Analysis'!$B$96</definedName>
    <definedName name="OUT_MC_SCHEDULE">'Marginal Analysis'!$G$8:$G$27,'Marginal Analysis'!$G$33:$G$52,'Marginal Analysis'!$G$58:$G$87</definedName>
    <definedName name="OUT_P_MINUS_MC">'Marginal Analysis'!$I$8:$I$27,'Marginal Analysis'!$I$33:$I$52,'Marginal Analysis'!$I$58:$I$87</definedName>
    <definedName name="OUT_TOM_BEDS">Optimization!$B$6</definedName>
    <definedName name="OUT_CAR_BEDS">Optimization!$B$7</definedName>
    <definedName name="OUT_MES_BEDS">Optimization!$B$8</definedName>
    <definedName name="OUT_BEDS_USED">Optimization!$B$9</definedName>
    <definedName name="OUT_BEDS_IDLE">Optimization!$B$10</definedName>
    <definedName name="OUT_TOTAL_HOURS">Optimization!$B$17</definedName>
    <definedName name="OUT_PERM_HOURS">Optimization!$B$18</definedName>
    <definedName name="OUT_TEMP_HOURS">Optimization!$B$19</definedName>
    <definedName name="OUT_TEMP_WORKERS">Optimization!$B$20</definedName>
    <definedName name="OUT_BLENDED_RATE">Optimization!$B$23</definedName>
    <definedName name="OUT_REVENUE">Optimization!$B$27</definedName>
    <definedName name="OUT_LABOR_COST">Optimization!$B$28</definedName>
    <definedName name="OUT_FERT_COST">Optimization!$B$29</definedName>
    <definedName name="OUT_FIXED_COST">Optimization!$B$30</definedName>
    <definedName name="OUT_TOTAL_COST">Optimization!$B$31</definedName>
    <definedName name="OUT_SEASON_PROFIT">Optimization!$B$32</definedName>
    <definedName name="OUT_CROP_REVENUE">Optimization!$D$37:$D$39</definedName>
    <definedName name="OUT_CROP_FERT_COST">Optimization!$E$37:$E$39</definedName>
    <definedName name="OUT_CROP_LABOR_COST">Optimization!$F$37:$F$39</definedName>
    <definedName name="OUT_CROP_PROFIT">Optimization!$G$37:$G$39</definedName>
    <definedName name="OUT_PNL_RECONCILES">Optimization!$B$44</definedName>
    <definedName name="OUT_CONSTRAINTS_OK">Validation!$B$14</definedName>
    <definedName name="solver_typ" localSheetId="2" hidden="1">1</definedName>
    <definedName name="solver_opt" localSheetId="2" hidden="1">Optimization!$B$32</definedName>
    <definedName name="solver_adj" localSheetId="2" hidden="1">Inputs!$B$36:$B$38</definedName>
    <definedName name="solver_val" localSheetId="2" hidden="1">0</definedName>
    <definedName name="solver_eng" localSheetId="2" hidden="1">1</definedName>
    <definedName name="solver_neg" localSheetId="2" hidden="1">1</definedName>
    <definedName name="solver_num" localSheetId="2" hidden="1">6</definedName>
    <definedName name="solver_lhs1" localSheetId="2" hidden="1">Inputs!$B$36</definedName>
    <definedName name="solver_rel1" localSheetId="2" hidden="1">1</definedName>
    <definedName name="solver_rhs1" localSheetId="2" hidden="1">Inputs!$B$21</definedName>
    <definedName name="solver_lhs2" localSheetId="2" hidden="1">Inputs!$B$37</definedName>
    <definedName name="solver_rel2" localSheetId="2" hidden="1">1</definedName>
    <definedName name="solver_rhs2" localSheetId="2" hidden="1">Inputs!$B$26</definedName>
    <definedName name="solver_lhs3" localSheetId="2" hidden="1">Inputs!$B$38</definedName>
    <definedName name="solver_rel3" localSheetId="2" hidden="1">1</definedName>
    <definedName name="solver_rhs3" localSheetId="2" hidden="1">Inputs!$B$31</definedName>
    <definedName name="solver_lhs4" localSheetId="2" hidden="1">Optimization!$B$9</definedName>
    <definedName name="solver_rel4" localSheetId="2" hidden="1">1</definedName>
    <definedName name="solver_rhs4" localSheetId="2" hidden="1">Inputs!$B$13</definedName>
    <definedName name="solver_lhs5" localSheetId="2" hidden="1">Optimization!$B$20</definedName>
    <definedName name="solver_rel5" localSheetId="2" hidden="1">1</definedName>
    <definedName name="solver_rhs5" localSheetId="2" hidden="1">Inputs!$B$11</definedName>
    <definedName name="solver_lhs6" localSheetId="2" hidden="1">Inputs!$B$36:$B$38</definedName>
    <definedName name="solver_rel6" localSheetId="2" hidden="1">4</definedName>
    <definedName name="solver_rhs6" localSheetId="2" hidden="1">integer</definedName>
    <definedName name="solver_ver" localSheetId="2" hidden="1">3</definedName>
  </definedNames>
  <calcPr calcId="124519" fullCalcOnLoad="1"/>
</workbook>
</file>

<file path=xl/styles.xml><?xml version="1.0" encoding="utf-8"?>
<styleSheet xmlns="http://schemas.openxmlformats.org/spreadsheetml/2006/main">
  <numFmts count="4">
    <numFmt numFmtId="164" formatCode="#,##0;[Red]-#,##0"/>
    <numFmt numFmtId="165" formatCode="0.0000"/>
    <numFmt numFmtId="166" formatCode="#,##0.0000"/>
    <numFmt numFmtId="167" formatCode="#,##0.00;[Red]-#,##0.00"/>
  </numFmts>
  <fonts count="6">
    <font>
      <name val="Calibri"/>
      <family val="2"/>
      <color theme="1"/>
      <sz val="11"/>
      <scheme val="minor"/>
    </font>
    <font>
      <b val="1"/>
      <color rgb="001F3864"/>
      <sz val="14"/>
    </font>
    <font>
      <i val="1"/>
      <color rgb="00595959"/>
      <sz val="9"/>
    </font>
    <font>
      <b val="1"/>
      <color rgb="001F3864"/>
      <sz val="11"/>
    </font>
    <font>
      <b val="1"/>
      <color rgb="00FFFFFF"/>
      <sz val="10"/>
    </font>
    <font>
      <b val="1"/>
    </font>
  </fonts>
  <fills count="7">
    <fill>
      <patternFill/>
    </fill>
    <fill>
      <patternFill patternType="gray125"/>
    </fill>
    <fill>
      <patternFill patternType="solid">
        <fgColor rgb="001F3864"/>
      </patternFill>
    </fill>
    <fill>
      <patternFill patternType="solid">
        <fgColor rgb="00FFF2CC"/>
      </patternFill>
    </fill>
    <fill>
      <patternFill patternType="solid">
        <fgColor rgb="00D9EAD3"/>
      </patternFill>
    </fill>
    <fill>
      <patternFill patternType="solid">
        <fgColor rgb="00E8F0FE"/>
      </patternFill>
    </fill>
    <fill>
      <patternFill patternType="solid">
        <fgColor rgb="00FFE59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0" pivotButton="0" quotePrefix="0" xfId="0"/>
    <xf numFmtId="3" fontId="0" fillId="3" borderId="1" pivotButton="0" quotePrefix="0" xfId="0"/>
    <xf numFmtId="164" fontId="0" fillId="3" borderId="1" pivotButton="0" quotePrefix="0" xfId="0"/>
    <xf numFmtId="4" fontId="0" fillId="3" borderId="1" pivotButton="0" quotePrefix="0" xfId="0"/>
    <xf numFmtId="165" fontId="0" fillId="3" borderId="1" pivotButton="0" quotePrefix="0" xfId="0"/>
    <xf numFmtId="166" fontId="0" fillId="3" borderId="1" pivotButton="0" quotePrefix="0" xfId="0"/>
    <xf numFmtId="3" fontId="0" fillId="4" borderId="1" pivotButton="0" quotePrefix="0" xfId="0"/>
    <xf numFmtId="3" fontId="0" fillId="0" borderId="0" pivotButton="0" quotePrefix="0" xfId="0"/>
    <xf numFmtId="166" fontId="0" fillId="5" borderId="1" pivotButton="0" quotePrefix="0" xfId="0"/>
    <xf numFmtId="3" fontId="0" fillId="0" borderId="1" pivotButton="0" quotePrefix="0" xfId="0"/>
    <xf numFmtId="4" fontId="0" fillId="0" borderId="1" pivotButton="0" quotePrefix="0" xfId="0"/>
    <xf numFmtId="0" fontId="0" fillId="0" borderId="1" pivotButton="0" quotePrefix="0" xfId="0"/>
    <xf numFmtId="167" fontId="0" fillId="0" borderId="1" pivotButton="0" quotePrefix="0" xfId="0"/>
    <xf numFmtId="0" fontId="0" fillId="0" borderId="1" applyAlignment="1" pivotButton="0" quotePrefix="0" xfId="0">
      <alignment horizontal="center"/>
    </xf>
    <xf numFmtId="1" fontId="0" fillId="0" borderId="1" pivotButton="0" quotePrefix="0" xfId="0"/>
    <xf numFmtId="3" fontId="0" fillId="5" borderId="1" pivotButton="0" quotePrefix="0" xfId="0"/>
    <xf numFmtId="167" fontId="0" fillId="5" borderId="1" pivotButton="0" quotePrefix="0" xfId="0"/>
    <xf numFmtId="4" fontId="0" fillId="5" borderId="1" pivotButton="0" quotePrefix="0" xfId="0"/>
    <xf numFmtId="167" fontId="0" fillId="6" borderId="1" pivotButton="0" quotePrefix="0" xfId="0"/>
    <xf numFmtId="0" fontId="5" fillId="0" borderId="1" pivotButton="0" quotePrefix="0" xfId="0"/>
    <xf numFmtId="3" fontId="5" fillId="0" borderId="1" pivotButton="0" quotePrefix="0" xfId="0"/>
    <xf numFmtId="4" fontId="5" fillId="0" borderId="1" pivotButton="0" quotePrefix="0" xfId="0"/>
    <xf numFmtId="167" fontId="5" fillId="0" borderId="1" pivotButton="0" quotePrefix="0" xfId="0"/>
    <xf numFmtId="167" fontId="5" fillId="5" borderId="1" pivotButton="0" quotePrefix="0" xfId="0"/>
    <xf numFmtId="0" fontId="0" fillId="5" borderId="1" applyAlignment="1" pivotButton="0" quotePrefix="0" xfId="0">
      <alignment horizontal="center"/>
    </xf>
    <xf numFmtId="0" fontId="5" fillId="0" borderId="1" applyAlignment="1" pivotButton="0" quotePrefix="0" xfId="0">
      <alignment horizontal="center"/>
    </xf>
    <xf numFmtId="0" fontId="5" fillId="5" borderId="1" applyAlignment="1" pivotButton="0" quotePrefix="0" xfId="0">
      <alignment horizontal="center"/>
    </xf>
    <xf numFmtId="4" fontId="0" fillId="0" borderId="0" pivotButton="0" quotePrefix="0" xfId="0"/>
    <xf numFmtId="167" fontId="0" fillId="3" borderId="1" pivotButton="0" quotePrefix="0" xfId="0"/>
  </cellXfs>
  <cellStyles count="1">
    <cellStyle name="Normal" xfId="0" builtinId="0" hidden="0"/>
  </cellStyles>
  <dxfs count="2">
    <dxf>
      <fill>
        <patternFill patternType="solid">
          <fgColor rgb="00D9EAD3"/>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0" customWidth="1" min="1" max="1"/>
    <col width="14" customWidth="1" min="2" max="2"/>
    <col width="26" customWidth="1" min="3" max="3"/>
    <col width="78" customWidth="1" min="4" max="4"/>
    <col width="14" customWidth="1" min="5" max="5"/>
  </cols>
  <sheetData>
    <row r="1">
      <c r="A1" s="1" t="inlineStr">
        <is>
          <t>Farm Labor &amp; Profit Model — Inputs</t>
        </is>
      </c>
    </row>
    <row r="2">
      <c r="A2" s="2" t="inlineStr">
        <is>
          <t>Every input below is a named range carrying its stated unit. Shaded cells are the only typed constants in the workbook; everything else, on every sheet, is a formula.</t>
        </is>
      </c>
    </row>
    <row r="3"/>
    <row r="4">
      <c r="A4" s="3" t="inlineStr">
        <is>
          <t>Farm-wide assumptions</t>
        </is>
      </c>
    </row>
    <row r="5">
      <c r="A5" s="4" t="inlineStr">
        <is>
          <t>Name</t>
        </is>
      </c>
      <c r="B5" s="4" t="inlineStr">
        <is>
          <t>Value</t>
        </is>
      </c>
      <c r="C5" s="4" t="inlineStr">
        <is>
          <t>Unit</t>
        </is>
      </c>
      <c r="D5" s="4" t="inlineStr">
        <is>
          <t>Source</t>
        </is>
      </c>
    </row>
    <row r="6">
      <c r="A6" s="5" t="inlineStr">
        <is>
          <t>WEEKS</t>
        </is>
      </c>
      <c r="B6" s="6" t="n">
        <v>36</v>
      </c>
      <c r="C6" t="inlineStr">
        <is>
          <t>weeks</t>
        </is>
      </c>
      <c r="D6" s="2" t="inlineStr">
        <is>
          <t>Case scenario — season length</t>
        </is>
      </c>
    </row>
    <row r="7">
      <c r="A7" s="5" t="inlineStr">
        <is>
          <t>PERM_HOURS</t>
        </is>
      </c>
      <c r="B7" s="6" t="n">
        <v>720</v>
      </c>
      <c r="C7" t="inlineStr">
        <is>
          <t>hours per season</t>
        </is>
      </c>
      <c r="D7" s="2" t="inlineStr">
        <is>
          <t>Case scenario — half the farmer's season</t>
        </is>
      </c>
    </row>
    <row r="8">
      <c r="A8" s="5" t="inlineStr">
        <is>
          <t>FARMER_SALARY</t>
        </is>
      </c>
      <c r="B8" s="7" t="n">
        <v>50000</v>
      </c>
      <c r="C8" t="inlineStr">
        <is>
          <t>$ per season</t>
        </is>
      </c>
      <c r="D8" s="2" t="inlineStr">
        <is>
          <t>Case scenario</t>
        </is>
      </c>
    </row>
    <row r="9">
      <c r="A9" s="5" t="inlineStr">
        <is>
          <t>TEMP_WORKER_PAY</t>
        </is>
      </c>
      <c r="B9" s="7" t="n">
        <v>25000</v>
      </c>
      <c r="C9" t="inlineStr">
        <is>
          <t>$ per worker per season</t>
        </is>
      </c>
      <c r="D9" s="2" t="inlineStr">
        <is>
          <t>Case scenario</t>
        </is>
      </c>
    </row>
    <row r="10">
      <c r="A10" s="5" t="inlineStr">
        <is>
          <t>TEMP_WORKER_HRS</t>
        </is>
      </c>
      <c r="B10" s="6" t="n">
        <v>1440</v>
      </c>
      <c r="C10" t="inlineStr">
        <is>
          <t>hours per worker per season</t>
        </is>
      </c>
      <c r="D10" s="2" t="inlineStr">
        <is>
          <t>Case scenario</t>
        </is>
      </c>
    </row>
    <row r="11">
      <c r="A11" s="5" t="inlineStr">
        <is>
          <t>TEMP_WORKERS_MAX</t>
        </is>
      </c>
      <c r="B11" s="6" t="n">
        <v>4</v>
      </c>
      <c r="C11" t="inlineStr">
        <is>
          <t>workers</t>
        </is>
      </c>
      <c r="D11" s="2" t="inlineStr">
        <is>
          <t>Case scenario constraint</t>
        </is>
      </c>
    </row>
    <row r="12">
      <c r="A12" s="5" t="inlineStr">
        <is>
          <t>FIXED_COST</t>
        </is>
      </c>
      <c r="B12" s="7" t="n">
        <v>20000</v>
      </c>
      <c r="C12" t="inlineStr">
        <is>
          <t>$ per season</t>
        </is>
      </c>
      <c r="D12" s="2" t="inlineStr">
        <is>
          <t>Case scenario</t>
        </is>
      </c>
    </row>
    <row r="13">
      <c r="A13" s="5" t="inlineStr">
        <is>
          <t>FARM_BED_CAP</t>
        </is>
      </c>
      <c r="B13" s="6" t="n">
        <v>64</v>
      </c>
      <c r="C13" t="inlineStr">
        <is>
          <t>beds</t>
        </is>
      </c>
      <c r="D13" s="2" t="inlineStr">
        <is>
          <t>Case scenario — 16 beds x 4 plots</t>
        </is>
      </c>
    </row>
    <row r="14"/>
    <row r="15">
      <c r="A15" s="3" t="inlineStr">
        <is>
          <t>Per-crop assumptions</t>
        </is>
      </c>
    </row>
    <row r="16">
      <c r="A16" s="4" t="inlineStr">
        <is>
          <t>Name</t>
        </is>
      </c>
      <c r="B16" s="4" t="inlineStr">
        <is>
          <t>Value</t>
        </is>
      </c>
      <c r="C16" s="4" t="inlineStr">
        <is>
          <t>Unit</t>
        </is>
      </c>
      <c r="D16" s="4" t="inlineStr">
        <is>
          <t>Source</t>
        </is>
      </c>
    </row>
    <row r="17">
      <c r="A17" s="5" t="inlineStr">
        <is>
          <t>TOM_HPB</t>
        </is>
      </c>
      <c r="B17" s="8" t="n">
        <v>2.5</v>
      </c>
      <c r="C17" t="inlineStr">
        <is>
          <t>hours per week per bed</t>
        </is>
      </c>
      <c r="D17" s="2" t="inlineStr">
        <is>
          <t>Case table</t>
        </is>
      </c>
    </row>
    <row r="18">
      <c r="A18" s="5" t="inlineStr">
        <is>
          <t>TOM_DIM</t>
        </is>
      </c>
      <c r="B18" s="9" t="n">
        <v>0.1</v>
      </c>
      <c r="C18" t="inlineStr">
        <is>
          <t>fraction, per bed</t>
        </is>
      </c>
      <c r="D18" s="2" t="inlineStr">
        <is>
          <t>Case table</t>
        </is>
      </c>
    </row>
    <row r="19">
      <c r="A19" s="5" t="inlineStr">
        <is>
          <t>TOM_FERT</t>
        </is>
      </c>
      <c r="B19" s="7" t="n">
        <v>880</v>
      </c>
      <c r="C19" t="inlineStr">
        <is>
          <t>$ per bed</t>
        </is>
      </c>
      <c r="D19" s="2" t="inlineStr">
        <is>
          <t>Case table</t>
        </is>
      </c>
    </row>
    <row r="20">
      <c r="A20" s="5" t="inlineStr">
        <is>
          <t>TOM_PRICE</t>
        </is>
      </c>
      <c r="B20" s="7" t="n">
        <v>8800</v>
      </c>
      <c r="C20" t="inlineStr">
        <is>
          <t>$ per bed</t>
        </is>
      </c>
      <c r="D20" s="2" t="inlineStr">
        <is>
          <t>Case table</t>
        </is>
      </c>
    </row>
    <row r="21">
      <c r="A21" s="5" t="inlineStr">
        <is>
          <t>TOM_CAP</t>
        </is>
      </c>
      <c r="B21" s="6" t="n">
        <v>20</v>
      </c>
      <c r="C21" t="inlineStr">
        <is>
          <t>beds</t>
        </is>
      </c>
      <c r="D21" s="2" t="inlineStr">
        <is>
          <t>Case table</t>
        </is>
      </c>
    </row>
    <row r="22">
      <c r="A22" s="5" t="inlineStr">
        <is>
          <t>CAR_HPB</t>
        </is>
      </c>
      <c r="B22" s="10">
        <f>5/6</f>
        <v/>
      </c>
      <c r="C22" t="inlineStr">
        <is>
          <t>hours per week per bed</t>
        </is>
      </c>
      <c r="D22" s="2" t="inlineStr">
        <is>
          <t>Case shows 0.833; that figure is rounded. Entered as =5/6 to hold exact precision (spec Convention 1).</t>
        </is>
      </c>
    </row>
    <row r="23">
      <c r="A23" s="5" t="inlineStr">
        <is>
          <t>CAR_DIM</t>
        </is>
      </c>
      <c r="B23" s="9" t="n">
        <v>0.025</v>
      </c>
      <c r="C23" t="inlineStr">
        <is>
          <t>fraction, per bed</t>
        </is>
      </c>
      <c r="D23" s="2" t="inlineStr">
        <is>
          <t>Case table</t>
        </is>
      </c>
    </row>
    <row r="24">
      <c r="A24" s="5" t="inlineStr">
        <is>
          <t>CAR_FERT</t>
        </is>
      </c>
      <c r="B24" s="7" t="n">
        <v>440</v>
      </c>
      <c r="C24" t="inlineStr">
        <is>
          <t>$ per bed</t>
        </is>
      </c>
      <c r="D24" s="2" t="inlineStr">
        <is>
          <t>Case table</t>
        </is>
      </c>
    </row>
    <row r="25">
      <c r="A25" s="5" t="inlineStr">
        <is>
          <t>CAR_PRICE</t>
        </is>
      </c>
      <c r="B25" s="7" t="n">
        <v>2094</v>
      </c>
      <c r="C25" t="inlineStr">
        <is>
          <t>$ per bed</t>
        </is>
      </c>
      <c r="D25" s="2" t="inlineStr">
        <is>
          <t>Case table</t>
        </is>
      </c>
    </row>
    <row r="26">
      <c r="A26" s="5" t="inlineStr">
        <is>
          <t>CAR_CAP</t>
        </is>
      </c>
      <c r="B26" s="6" t="n">
        <v>20</v>
      </c>
      <c r="C26" t="inlineStr">
        <is>
          <t>beds</t>
        </is>
      </c>
      <c r="D26" s="2" t="inlineStr">
        <is>
          <t>Case table</t>
        </is>
      </c>
    </row>
    <row r="27">
      <c r="A27" s="5" t="inlineStr">
        <is>
          <t>MES_HPB</t>
        </is>
      </c>
      <c r="B27" s="8" t="n">
        <v>1.25</v>
      </c>
      <c r="C27" t="inlineStr">
        <is>
          <t>hours per week per bed</t>
        </is>
      </c>
      <c r="D27" s="2" t="inlineStr">
        <is>
          <t>Case table</t>
        </is>
      </c>
    </row>
    <row r="28">
      <c r="A28" s="5" t="inlineStr">
        <is>
          <t>MES_DIM</t>
        </is>
      </c>
      <c r="B28" s="9" t="n">
        <v>0.0125</v>
      </c>
      <c r="C28" t="inlineStr">
        <is>
          <t>fraction, per bed</t>
        </is>
      </c>
      <c r="D28" s="2" t="inlineStr">
        <is>
          <t>Case table</t>
        </is>
      </c>
    </row>
    <row r="29">
      <c r="A29" s="5" t="inlineStr">
        <is>
          <t>MES_FERT</t>
        </is>
      </c>
      <c r="B29" s="7" t="n">
        <v>880</v>
      </c>
      <c r="C29" t="inlineStr">
        <is>
          <t>$ per bed</t>
        </is>
      </c>
      <c r="D29" s="2" t="inlineStr">
        <is>
          <t>Case table</t>
        </is>
      </c>
    </row>
    <row r="30">
      <c r="A30" s="5" t="inlineStr">
        <is>
          <t>MES_PRICE</t>
        </is>
      </c>
      <c r="B30" s="7" t="n">
        <v>2700</v>
      </c>
      <c r="C30" t="inlineStr">
        <is>
          <t>$ per bed</t>
        </is>
      </c>
      <c r="D30" s="2" t="inlineStr">
        <is>
          <t>Case table</t>
        </is>
      </c>
    </row>
    <row r="31">
      <c r="A31" s="5" t="inlineStr">
        <is>
          <t>MES_CAP</t>
        </is>
      </c>
      <c r="B31" s="6" t="n">
        <v>30</v>
      </c>
      <c r="C31" t="inlineStr">
        <is>
          <t>beds</t>
        </is>
      </c>
      <c r="D31" s="2" t="inlineStr">
        <is>
          <t>Case table</t>
        </is>
      </c>
    </row>
    <row r="32"/>
    <row r="33">
      <c r="A33" s="3" t="inlineStr">
        <is>
          <t>Decision variables — the Solver changing cells</t>
        </is>
      </c>
    </row>
    <row r="34">
      <c r="A34" s="2" t="inlineStr">
        <is>
          <t>Whole beds only: a bed is planted or it is not. These three cells are the only cells Solver changes.</t>
        </is>
      </c>
    </row>
    <row r="35">
      <c r="A35" s="4" t="inlineStr">
        <is>
          <t>Name</t>
        </is>
      </c>
      <c r="B35" s="4" t="inlineStr">
        <is>
          <t>Value</t>
        </is>
      </c>
      <c r="C35" s="4" t="inlineStr">
        <is>
          <t>Unit</t>
        </is>
      </c>
      <c r="D35" s="4" t="inlineStr">
        <is>
          <t>Lower bound</t>
        </is>
      </c>
      <c r="E35" s="4" t="inlineStr">
        <is>
          <t>Upper bound</t>
        </is>
      </c>
    </row>
    <row r="36">
      <c r="A36" s="5" t="inlineStr">
        <is>
          <t>TOM_BEDS</t>
        </is>
      </c>
      <c r="B36" s="11" t="n">
        <v>10</v>
      </c>
      <c r="C36" t="inlineStr">
        <is>
          <t>beds, integer</t>
        </is>
      </c>
      <c r="D36" s="12" t="n">
        <v>0</v>
      </c>
      <c r="E36" s="12">
        <f>TOM_CAP</f>
        <v/>
      </c>
    </row>
    <row r="37">
      <c r="A37" s="5" t="inlineStr">
        <is>
          <t>CAR_BEDS</t>
        </is>
      </c>
      <c r="B37" s="11" t="n">
        <v>20</v>
      </c>
      <c r="C37" t="inlineStr">
        <is>
          <t>beds, integer</t>
        </is>
      </c>
      <c r="D37" s="12" t="n">
        <v>0</v>
      </c>
      <c r="E37" s="12">
        <f>CAR_CAP</f>
        <v/>
      </c>
    </row>
    <row r="38">
      <c r="A38" s="5" t="inlineStr">
        <is>
          <t>MES_BEDS</t>
        </is>
      </c>
      <c r="B38" s="11" t="n">
        <v>30</v>
      </c>
      <c r="C38" t="inlineStr">
        <is>
          <t>beds, integer</t>
        </is>
      </c>
      <c r="D38" s="12" t="n">
        <v>0</v>
      </c>
      <c r="E38" s="12">
        <f>MES_CAP</f>
        <v/>
      </c>
    </row>
    <row r="39"/>
    <row r="40">
      <c r="A40" s="3" t="inlineStr">
        <is>
          <t>Derived rates — never entered as constants (spec §1, §3C)</t>
        </is>
      </c>
    </row>
    <row r="41">
      <c r="A41" s="4" t="inlineStr">
        <is>
          <t>Name</t>
        </is>
      </c>
      <c r="B41" s="4" t="inlineStr">
        <is>
          <t>Value</t>
        </is>
      </c>
      <c r="C41" s="4" t="inlineStr">
        <is>
          <t>Unit</t>
        </is>
      </c>
      <c r="D41" s="4" t="inlineStr">
        <is>
          <t>Formula</t>
        </is>
      </c>
    </row>
    <row r="42">
      <c r="A42" s="5" t="inlineStr">
        <is>
          <t>PERM_RATE</t>
        </is>
      </c>
      <c r="B42" s="13">
        <f>FARMER_SALARY/2/PERM_HOURS</f>
        <v/>
      </c>
      <c r="C42" t="inlineStr">
        <is>
          <t>$ per hour</t>
        </is>
      </c>
      <c r="D42" s="2" t="inlineStr">
        <is>
          <t>FARMER_SALARY / 2 / PERM_HOURS  (prints as 34.72; the exact quotient governs)</t>
        </is>
      </c>
    </row>
    <row r="43">
      <c r="A43" s="5" t="inlineStr">
        <is>
          <t>TEMP_RATE</t>
        </is>
      </c>
      <c r="B43" s="13">
        <f>TEMP_WORKER_PAY/TEMP_WORKER_HRS</f>
        <v/>
      </c>
      <c r="C43" t="inlineStr">
        <is>
          <t>$ per hour</t>
        </is>
      </c>
      <c r="D43" s="2" t="inlineStr">
        <is>
          <t>TEMP_WORKER_PAY / TEMP_WORKER_HRS  (prints as 17.36; the exact quotient governs)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96"/>
  <sheetViews>
    <sheetView workbookViewId="0">
      <pane ySplit="4" topLeftCell="A5" activePane="bottomLeft" state="frozen"/>
      <selection pane="bottomLeft" activeCell="A1" sqref="A1"/>
    </sheetView>
  </sheetViews>
  <sheetFormatPr baseColWidth="8" defaultRowHeight="15"/>
  <cols>
    <col width="11" customWidth="1" min="1" max="1"/>
    <col width="15" customWidth="1" min="2" max="2"/>
    <col width="17" customWidth="1" min="3" max="3"/>
    <col width="14" customWidth="1" min="4" max="4"/>
    <col width="14" customWidth="1" min="5" max="5"/>
    <col width="15" customWidth="1" min="6" max="6"/>
    <col width="14" customWidth="1" min="7" max="7"/>
    <col width="13" customWidth="1" min="8" max="8"/>
    <col width="13" customWidth="1" min="9" max="9"/>
    <col width="13" customWidth="1" min="10" max="10"/>
    <col width="9" customWidth="1" min="11" max="11"/>
  </cols>
  <sheetData>
    <row r="1">
      <c r="A1" s="1" t="inlineStr">
        <is>
          <t>Cost / Marginal Analysis — three standalone schedules</t>
        </is>
      </c>
    </row>
    <row r="2">
      <c r="A2" s="2" t="inlineStr">
        <is>
          <t>One schedule per crop, each built as though that crop were the only thing planted and each drawing on the full 720 permanent hours by itself (spec Convention 5). MC(q) is per crop: the labor cost of that crop's qth bed plus one bed of fertilizer. It excludes FIXED_COST.</t>
        </is>
      </c>
    </row>
    <row r="3">
      <c r="A3" s="2" t="inlineStr">
        <is>
          <t>Permanent hours are consumed first, one bed at a time, so a single bed can be split across both rates (spec §3F). The Decision column implements the crossing rule of V7: the schedule stops at the FIRST bed whose marginal cost exceeds price and stays stopped, whatever MC does further down the column.</t>
        </is>
      </c>
    </row>
    <row r="5">
      <c r="A5" s="3" t="inlineStr">
        <is>
          <t>TOMATOES — standalone schedule (q = 0 to TOM_CAP)</t>
        </is>
      </c>
    </row>
    <row r="6">
      <c r="A6" s="4" t="inlineStr">
        <is>
          <t>q (beds)</t>
        </is>
      </c>
      <c r="B6" s="4" t="inlineStr">
        <is>
          <t>LABOR_HRS(q)</t>
        </is>
      </c>
      <c r="C6" s="4" t="inlineStr">
        <is>
          <t>MARGINAL_HRS(q)</t>
        </is>
      </c>
      <c r="D6" s="4" t="inlineStr">
        <is>
          <t>PERM_HRS(q)</t>
        </is>
      </c>
      <c r="E6" s="4" t="inlineStr">
        <is>
          <t>TEMP_HRS(q)</t>
        </is>
      </c>
      <c r="F6" s="4" t="inlineStr">
        <is>
          <t>Fertilizer, 1 bed</t>
        </is>
      </c>
      <c r="G6" s="4" t="inlineStr">
        <is>
          <t>MC(q)</t>
        </is>
      </c>
      <c r="H6" s="4" t="inlineStr">
        <is>
          <t>Price per bed</t>
        </is>
      </c>
      <c r="I6" s="4" t="inlineStr">
        <is>
          <t>P - MC(q)</t>
        </is>
      </c>
      <c r="J6" s="4" t="inlineStr">
        <is>
          <t>Decision (V7)</t>
        </is>
      </c>
      <c r="K6" s="4" t="inlineStr">
        <is>
          <t>Dip flag</t>
        </is>
      </c>
    </row>
    <row r="7">
      <c r="A7" s="14" t="n">
        <v>0</v>
      </c>
      <c r="B7" s="15">
        <f>A7*TOM_HPB*WEEKS*(1+TOM_DIM)^A7</f>
        <v/>
      </c>
      <c r="C7" s="16" t="inlineStr"/>
      <c r="D7" s="16" t="inlineStr"/>
      <c r="E7" s="16" t="inlineStr"/>
      <c r="F7" s="16" t="inlineStr"/>
      <c r="G7" s="16" t="inlineStr"/>
      <c r="H7" s="16" t="inlineStr"/>
      <c r="I7" s="16" t="inlineStr"/>
      <c r="J7" s="16" t="inlineStr"/>
      <c r="K7" s="16" t="inlineStr"/>
    </row>
    <row r="8">
      <c r="A8" s="14" t="n">
        <v>1</v>
      </c>
      <c r="B8" s="15">
        <f>A8*TOM_HPB*WEEKS*(1+TOM_DIM)^A8</f>
        <v/>
      </c>
      <c r="C8" s="15">
        <f>B8-B7</f>
        <v/>
      </c>
      <c r="D8" s="15">
        <f>MAX(0,MIN(C8,PERM_HOURS-B7))</f>
        <v/>
      </c>
      <c r="E8" s="15">
        <f>C8-D8</f>
        <v/>
      </c>
      <c r="F8" s="17">
        <f>TOM_FERT</f>
        <v/>
      </c>
      <c r="G8" s="17">
        <f>D8*PERM_RATE+E8*TEMP_RATE+F8</f>
        <v/>
      </c>
      <c r="H8" s="17">
        <f>TOM_PRICE</f>
        <v/>
      </c>
      <c r="I8" s="17">
        <f>H8-G8</f>
        <v/>
      </c>
      <c r="J8" s="18">
        <f>IF(COUNTIF($I$8:I8,"&lt;0")&gt;0,"Stop","Plant")</f>
        <v/>
      </c>
      <c r="K8" s="19">
        <f>IF(A8&lt;2,0,IF(G8&lt;G7,1,0))</f>
        <v/>
      </c>
    </row>
    <row r="9">
      <c r="A9" s="14" t="n">
        <v>2</v>
      </c>
      <c r="B9" s="15">
        <f>A9*TOM_HPB*WEEKS*(1+TOM_DIM)^A9</f>
        <v/>
      </c>
      <c r="C9" s="15">
        <f>B9-B8</f>
        <v/>
      </c>
      <c r="D9" s="15">
        <f>MAX(0,MIN(C9,PERM_HOURS-B8))</f>
        <v/>
      </c>
      <c r="E9" s="15">
        <f>C9-D9</f>
        <v/>
      </c>
      <c r="F9" s="17">
        <f>TOM_FERT</f>
        <v/>
      </c>
      <c r="G9" s="17">
        <f>D9*PERM_RATE+E9*TEMP_RATE+F9</f>
        <v/>
      </c>
      <c r="H9" s="17">
        <f>TOM_PRICE</f>
        <v/>
      </c>
      <c r="I9" s="17">
        <f>H9-G9</f>
        <v/>
      </c>
      <c r="J9" s="18">
        <f>IF(COUNTIF($I$8:I9,"&lt;0")&gt;0,"Stop","Plant")</f>
        <v/>
      </c>
      <c r="K9" s="19">
        <f>IF(A9&lt;2,0,IF(G9&lt;G8,1,0))</f>
        <v/>
      </c>
    </row>
    <row r="10">
      <c r="A10" s="14" t="n">
        <v>3</v>
      </c>
      <c r="B10" s="15">
        <f>A10*TOM_HPB*WEEKS*(1+TOM_DIM)^A10</f>
        <v/>
      </c>
      <c r="C10" s="15">
        <f>B10-B9</f>
        <v/>
      </c>
      <c r="D10" s="15">
        <f>MAX(0,MIN(C10,PERM_HOURS-B9))</f>
        <v/>
      </c>
      <c r="E10" s="15">
        <f>C10-D10</f>
        <v/>
      </c>
      <c r="F10" s="17">
        <f>TOM_FERT</f>
        <v/>
      </c>
      <c r="G10" s="17">
        <f>D10*PERM_RATE+E10*TEMP_RATE+F10</f>
        <v/>
      </c>
      <c r="H10" s="17">
        <f>TOM_PRICE</f>
        <v/>
      </c>
      <c r="I10" s="17">
        <f>H10-G10</f>
        <v/>
      </c>
      <c r="J10" s="18">
        <f>IF(COUNTIF($I$8:I10,"&lt;0")&gt;0,"Stop","Plant")</f>
        <v/>
      </c>
      <c r="K10" s="19">
        <f>IF(A10&lt;2,0,IF(G10&lt;G9,1,0))</f>
        <v/>
      </c>
    </row>
    <row r="11">
      <c r="A11" s="14" t="n">
        <v>4</v>
      </c>
      <c r="B11" s="15">
        <f>A11*TOM_HPB*WEEKS*(1+TOM_DIM)^A11</f>
        <v/>
      </c>
      <c r="C11" s="15">
        <f>B11-B10</f>
        <v/>
      </c>
      <c r="D11" s="15">
        <f>MAX(0,MIN(C11,PERM_HOURS-B10))</f>
        <v/>
      </c>
      <c r="E11" s="15">
        <f>C11-D11</f>
        <v/>
      </c>
      <c r="F11" s="17">
        <f>TOM_FERT</f>
        <v/>
      </c>
      <c r="G11" s="17">
        <f>D11*PERM_RATE+E11*TEMP_RATE+F11</f>
        <v/>
      </c>
      <c r="H11" s="17">
        <f>TOM_PRICE</f>
        <v/>
      </c>
      <c r="I11" s="17">
        <f>H11-G11</f>
        <v/>
      </c>
      <c r="J11" s="18">
        <f>IF(COUNTIF($I$8:I11,"&lt;0")&gt;0,"Stop","Plant")</f>
        <v/>
      </c>
      <c r="K11" s="19">
        <f>IF(A11&lt;2,0,IF(G11&lt;G10,1,0))</f>
        <v/>
      </c>
    </row>
    <row r="12">
      <c r="A12" s="14" t="n">
        <v>5</v>
      </c>
      <c r="B12" s="15">
        <f>A12*TOM_HPB*WEEKS*(1+TOM_DIM)^A12</f>
        <v/>
      </c>
      <c r="C12" s="15">
        <f>B12-B11</f>
        <v/>
      </c>
      <c r="D12" s="15">
        <f>MAX(0,MIN(C12,PERM_HOURS-B11))</f>
        <v/>
      </c>
      <c r="E12" s="15">
        <f>C12-D12</f>
        <v/>
      </c>
      <c r="F12" s="17">
        <f>TOM_FERT</f>
        <v/>
      </c>
      <c r="G12" s="17">
        <f>D12*PERM_RATE+E12*TEMP_RATE+F12</f>
        <v/>
      </c>
      <c r="H12" s="17">
        <f>TOM_PRICE</f>
        <v/>
      </c>
      <c r="I12" s="17">
        <f>H12-G12</f>
        <v/>
      </c>
      <c r="J12" s="18">
        <f>IF(COUNTIF($I$8:I12,"&lt;0")&gt;0,"Stop","Plant")</f>
        <v/>
      </c>
      <c r="K12" s="19">
        <f>IF(A12&lt;2,0,IF(G12&lt;G11,1,0))</f>
        <v/>
      </c>
    </row>
    <row r="13">
      <c r="A13" s="14" t="n">
        <v>6</v>
      </c>
      <c r="B13" s="15">
        <f>A13*TOM_HPB*WEEKS*(1+TOM_DIM)^A13</f>
        <v/>
      </c>
      <c r="C13" s="15">
        <f>B13-B12</f>
        <v/>
      </c>
      <c r="D13" s="15">
        <f>MAX(0,MIN(C13,PERM_HOURS-B12))</f>
        <v/>
      </c>
      <c r="E13" s="15">
        <f>C13-D13</f>
        <v/>
      </c>
      <c r="F13" s="17">
        <f>TOM_FERT</f>
        <v/>
      </c>
      <c r="G13" s="17">
        <f>D13*PERM_RATE+E13*TEMP_RATE+F13</f>
        <v/>
      </c>
      <c r="H13" s="17">
        <f>TOM_PRICE</f>
        <v/>
      </c>
      <c r="I13" s="17">
        <f>H13-G13</f>
        <v/>
      </c>
      <c r="J13" s="18">
        <f>IF(COUNTIF($I$8:I13,"&lt;0")&gt;0,"Stop","Plant")</f>
        <v/>
      </c>
      <c r="K13" s="19">
        <f>IF(A13&lt;2,0,IF(G13&lt;G12,1,0))</f>
        <v/>
      </c>
    </row>
    <row r="14">
      <c r="A14" s="14" t="n">
        <v>7</v>
      </c>
      <c r="B14" s="15">
        <f>A14*TOM_HPB*WEEKS*(1+TOM_DIM)^A14</f>
        <v/>
      </c>
      <c r="C14" s="15">
        <f>B14-B13</f>
        <v/>
      </c>
      <c r="D14" s="15">
        <f>MAX(0,MIN(C14,PERM_HOURS-B13))</f>
        <v/>
      </c>
      <c r="E14" s="15">
        <f>C14-D14</f>
        <v/>
      </c>
      <c r="F14" s="17">
        <f>TOM_FERT</f>
        <v/>
      </c>
      <c r="G14" s="17">
        <f>D14*PERM_RATE+E14*TEMP_RATE+F14</f>
        <v/>
      </c>
      <c r="H14" s="17">
        <f>TOM_PRICE</f>
        <v/>
      </c>
      <c r="I14" s="17">
        <f>H14-G14</f>
        <v/>
      </c>
      <c r="J14" s="18">
        <f>IF(COUNTIF($I$8:I14,"&lt;0")&gt;0,"Stop","Plant")</f>
        <v/>
      </c>
      <c r="K14" s="19">
        <f>IF(A14&lt;2,0,IF(G14&lt;G13,1,0))</f>
        <v/>
      </c>
    </row>
    <row r="15">
      <c r="A15" s="14" t="n">
        <v>8</v>
      </c>
      <c r="B15" s="15">
        <f>A15*TOM_HPB*WEEKS*(1+TOM_DIM)^A15</f>
        <v/>
      </c>
      <c r="C15" s="15">
        <f>B15-B14</f>
        <v/>
      </c>
      <c r="D15" s="15">
        <f>MAX(0,MIN(C15,PERM_HOURS-B14))</f>
        <v/>
      </c>
      <c r="E15" s="15">
        <f>C15-D15</f>
        <v/>
      </c>
      <c r="F15" s="17">
        <f>TOM_FERT</f>
        <v/>
      </c>
      <c r="G15" s="17">
        <f>D15*PERM_RATE+E15*TEMP_RATE+F15</f>
        <v/>
      </c>
      <c r="H15" s="17">
        <f>TOM_PRICE</f>
        <v/>
      </c>
      <c r="I15" s="17">
        <f>H15-G15</f>
        <v/>
      </c>
      <c r="J15" s="18">
        <f>IF(COUNTIF($I$8:I15,"&lt;0")&gt;0,"Stop","Plant")</f>
        <v/>
      </c>
      <c r="K15" s="19">
        <f>IF(A15&lt;2,0,IF(G15&lt;G14,1,0))</f>
        <v/>
      </c>
    </row>
    <row r="16">
      <c r="A16" s="14" t="n">
        <v>9</v>
      </c>
      <c r="B16" s="15">
        <f>A16*TOM_HPB*WEEKS*(1+TOM_DIM)^A16</f>
        <v/>
      </c>
      <c r="C16" s="15">
        <f>B16-B15</f>
        <v/>
      </c>
      <c r="D16" s="15">
        <f>MAX(0,MIN(C16,PERM_HOURS-B15))</f>
        <v/>
      </c>
      <c r="E16" s="15">
        <f>C16-D16</f>
        <v/>
      </c>
      <c r="F16" s="17">
        <f>TOM_FERT</f>
        <v/>
      </c>
      <c r="G16" s="17">
        <f>D16*PERM_RATE+E16*TEMP_RATE+F16</f>
        <v/>
      </c>
      <c r="H16" s="17">
        <f>TOM_PRICE</f>
        <v/>
      </c>
      <c r="I16" s="17">
        <f>H16-G16</f>
        <v/>
      </c>
      <c r="J16" s="18">
        <f>IF(COUNTIF($I$8:I16,"&lt;0")&gt;0,"Stop","Plant")</f>
        <v/>
      </c>
      <c r="K16" s="19">
        <f>IF(A16&lt;2,0,IF(G16&lt;G15,1,0))</f>
        <v/>
      </c>
    </row>
    <row r="17">
      <c r="A17" s="14" t="n">
        <v>10</v>
      </c>
      <c r="B17" s="15">
        <f>A17*TOM_HPB*WEEKS*(1+TOM_DIM)^A17</f>
        <v/>
      </c>
      <c r="C17" s="15">
        <f>B17-B16</f>
        <v/>
      </c>
      <c r="D17" s="15">
        <f>MAX(0,MIN(C17,PERM_HOURS-B16))</f>
        <v/>
      </c>
      <c r="E17" s="15">
        <f>C17-D17</f>
        <v/>
      </c>
      <c r="F17" s="17">
        <f>TOM_FERT</f>
        <v/>
      </c>
      <c r="G17" s="17">
        <f>D17*PERM_RATE+E17*TEMP_RATE+F17</f>
        <v/>
      </c>
      <c r="H17" s="17">
        <f>TOM_PRICE</f>
        <v/>
      </c>
      <c r="I17" s="17">
        <f>H17-G17</f>
        <v/>
      </c>
      <c r="J17" s="18">
        <f>IF(COUNTIF($I$8:I17,"&lt;0")&gt;0,"Stop","Plant")</f>
        <v/>
      </c>
      <c r="K17" s="19">
        <f>IF(A17&lt;2,0,IF(G17&lt;G16,1,0))</f>
        <v/>
      </c>
    </row>
    <row r="18">
      <c r="A18" s="14" t="n">
        <v>11</v>
      </c>
      <c r="B18" s="15">
        <f>A18*TOM_HPB*WEEKS*(1+TOM_DIM)^A18</f>
        <v/>
      </c>
      <c r="C18" s="15">
        <f>B18-B17</f>
        <v/>
      </c>
      <c r="D18" s="15">
        <f>MAX(0,MIN(C18,PERM_HOURS-B17))</f>
        <v/>
      </c>
      <c r="E18" s="15">
        <f>C18-D18</f>
        <v/>
      </c>
      <c r="F18" s="17">
        <f>TOM_FERT</f>
        <v/>
      </c>
      <c r="G18" s="17">
        <f>D18*PERM_RATE+E18*TEMP_RATE+F18</f>
        <v/>
      </c>
      <c r="H18" s="17">
        <f>TOM_PRICE</f>
        <v/>
      </c>
      <c r="I18" s="17">
        <f>H18-G18</f>
        <v/>
      </c>
      <c r="J18" s="18">
        <f>IF(COUNTIF($I$8:I18,"&lt;0")&gt;0,"Stop","Plant")</f>
        <v/>
      </c>
      <c r="K18" s="19">
        <f>IF(A18&lt;2,0,IF(G18&lt;G17,1,0))</f>
        <v/>
      </c>
    </row>
    <row r="19">
      <c r="A19" s="14" t="n">
        <v>12</v>
      </c>
      <c r="B19" s="15">
        <f>A19*TOM_HPB*WEEKS*(1+TOM_DIM)^A19</f>
        <v/>
      </c>
      <c r="C19" s="15">
        <f>B19-B18</f>
        <v/>
      </c>
      <c r="D19" s="15">
        <f>MAX(0,MIN(C19,PERM_HOURS-B18))</f>
        <v/>
      </c>
      <c r="E19" s="15">
        <f>C19-D19</f>
        <v/>
      </c>
      <c r="F19" s="17">
        <f>TOM_FERT</f>
        <v/>
      </c>
      <c r="G19" s="17">
        <f>D19*PERM_RATE+E19*TEMP_RATE+F19</f>
        <v/>
      </c>
      <c r="H19" s="17">
        <f>TOM_PRICE</f>
        <v/>
      </c>
      <c r="I19" s="17">
        <f>H19-G19</f>
        <v/>
      </c>
      <c r="J19" s="18">
        <f>IF(COUNTIF($I$8:I19,"&lt;0")&gt;0,"Stop","Plant")</f>
        <v/>
      </c>
      <c r="K19" s="19">
        <f>IF(A19&lt;2,0,IF(G19&lt;G18,1,0))</f>
        <v/>
      </c>
    </row>
    <row r="20">
      <c r="A20" s="14" t="n">
        <v>13</v>
      </c>
      <c r="B20" s="15">
        <f>A20*TOM_HPB*WEEKS*(1+TOM_DIM)^A20</f>
        <v/>
      </c>
      <c r="C20" s="15">
        <f>B20-B19</f>
        <v/>
      </c>
      <c r="D20" s="15">
        <f>MAX(0,MIN(C20,PERM_HOURS-B19))</f>
        <v/>
      </c>
      <c r="E20" s="15">
        <f>C20-D20</f>
        <v/>
      </c>
      <c r="F20" s="17">
        <f>TOM_FERT</f>
        <v/>
      </c>
      <c r="G20" s="17">
        <f>D20*PERM_RATE+E20*TEMP_RATE+F20</f>
        <v/>
      </c>
      <c r="H20" s="17">
        <f>TOM_PRICE</f>
        <v/>
      </c>
      <c r="I20" s="17">
        <f>H20-G20</f>
        <v/>
      </c>
      <c r="J20" s="18">
        <f>IF(COUNTIF($I$8:I20,"&lt;0")&gt;0,"Stop","Plant")</f>
        <v/>
      </c>
      <c r="K20" s="19">
        <f>IF(A20&lt;2,0,IF(G20&lt;G19,1,0))</f>
        <v/>
      </c>
    </row>
    <row r="21">
      <c r="A21" s="14" t="n">
        <v>14</v>
      </c>
      <c r="B21" s="15">
        <f>A21*TOM_HPB*WEEKS*(1+TOM_DIM)^A21</f>
        <v/>
      </c>
      <c r="C21" s="15">
        <f>B21-B20</f>
        <v/>
      </c>
      <c r="D21" s="15">
        <f>MAX(0,MIN(C21,PERM_HOURS-B20))</f>
        <v/>
      </c>
      <c r="E21" s="15">
        <f>C21-D21</f>
        <v/>
      </c>
      <c r="F21" s="17">
        <f>TOM_FERT</f>
        <v/>
      </c>
      <c r="G21" s="17">
        <f>D21*PERM_RATE+E21*TEMP_RATE+F21</f>
        <v/>
      </c>
      <c r="H21" s="17">
        <f>TOM_PRICE</f>
        <v/>
      </c>
      <c r="I21" s="17">
        <f>H21-G21</f>
        <v/>
      </c>
      <c r="J21" s="18">
        <f>IF(COUNTIF($I$8:I21,"&lt;0")&gt;0,"Stop","Plant")</f>
        <v/>
      </c>
      <c r="K21" s="19">
        <f>IF(A21&lt;2,0,IF(G21&lt;G20,1,0))</f>
        <v/>
      </c>
    </row>
    <row r="22">
      <c r="A22" s="14" t="n">
        <v>15</v>
      </c>
      <c r="B22" s="15">
        <f>A22*TOM_HPB*WEEKS*(1+TOM_DIM)^A22</f>
        <v/>
      </c>
      <c r="C22" s="15">
        <f>B22-B21</f>
        <v/>
      </c>
      <c r="D22" s="15">
        <f>MAX(0,MIN(C22,PERM_HOURS-B21))</f>
        <v/>
      </c>
      <c r="E22" s="15">
        <f>C22-D22</f>
        <v/>
      </c>
      <c r="F22" s="17">
        <f>TOM_FERT</f>
        <v/>
      </c>
      <c r="G22" s="17">
        <f>D22*PERM_RATE+E22*TEMP_RATE+F22</f>
        <v/>
      </c>
      <c r="H22" s="17">
        <f>TOM_PRICE</f>
        <v/>
      </c>
      <c r="I22" s="17">
        <f>H22-G22</f>
        <v/>
      </c>
      <c r="J22" s="18">
        <f>IF(COUNTIF($I$8:I22,"&lt;0")&gt;0,"Stop","Plant")</f>
        <v/>
      </c>
      <c r="K22" s="19">
        <f>IF(A22&lt;2,0,IF(G22&lt;G21,1,0))</f>
        <v/>
      </c>
    </row>
    <row r="23">
      <c r="A23" s="14" t="n">
        <v>16</v>
      </c>
      <c r="B23" s="15">
        <f>A23*TOM_HPB*WEEKS*(1+TOM_DIM)^A23</f>
        <v/>
      </c>
      <c r="C23" s="15">
        <f>B23-B22</f>
        <v/>
      </c>
      <c r="D23" s="15">
        <f>MAX(0,MIN(C23,PERM_HOURS-B22))</f>
        <v/>
      </c>
      <c r="E23" s="15">
        <f>C23-D23</f>
        <v/>
      </c>
      <c r="F23" s="17">
        <f>TOM_FERT</f>
        <v/>
      </c>
      <c r="G23" s="17">
        <f>D23*PERM_RATE+E23*TEMP_RATE+F23</f>
        <v/>
      </c>
      <c r="H23" s="17">
        <f>TOM_PRICE</f>
        <v/>
      </c>
      <c r="I23" s="17">
        <f>H23-G23</f>
        <v/>
      </c>
      <c r="J23" s="18">
        <f>IF(COUNTIF($I$8:I23,"&lt;0")&gt;0,"Stop","Plant")</f>
        <v/>
      </c>
      <c r="K23" s="19">
        <f>IF(A23&lt;2,0,IF(G23&lt;G22,1,0))</f>
        <v/>
      </c>
    </row>
    <row r="24">
      <c r="A24" s="14" t="n">
        <v>17</v>
      </c>
      <c r="B24" s="15">
        <f>A24*TOM_HPB*WEEKS*(1+TOM_DIM)^A24</f>
        <v/>
      </c>
      <c r="C24" s="15">
        <f>B24-B23</f>
        <v/>
      </c>
      <c r="D24" s="15">
        <f>MAX(0,MIN(C24,PERM_HOURS-B23))</f>
        <v/>
      </c>
      <c r="E24" s="15">
        <f>C24-D24</f>
        <v/>
      </c>
      <c r="F24" s="17">
        <f>TOM_FERT</f>
        <v/>
      </c>
      <c r="G24" s="17">
        <f>D24*PERM_RATE+E24*TEMP_RATE+F24</f>
        <v/>
      </c>
      <c r="H24" s="17">
        <f>TOM_PRICE</f>
        <v/>
      </c>
      <c r="I24" s="17">
        <f>H24-G24</f>
        <v/>
      </c>
      <c r="J24" s="18">
        <f>IF(COUNTIF($I$8:I24,"&lt;0")&gt;0,"Stop","Plant")</f>
        <v/>
      </c>
      <c r="K24" s="19">
        <f>IF(A24&lt;2,0,IF(G24&lt;G23,1,0))</f>
        <v/>
      </c>
    </row>
    <row r="25">
      <c r="A25" s="14" t="n">
        <v>18</v>
      </c>
      <c r="B25" s="15">
        <f>A25*TOM_HPB*WEEKS*(1+TOM_DIM)^A25</f>
        <v/>
      </c>
      <c r="C25" s="15">
        <f>B25-B24</f>
        <v/>
      </c>
      <c r="D25" s="15">
        <f>MAX(0,MIN(C25,PERM_HOURS-B24))</f>
        <v/>
      </c>
      <c r="E25" s="15">
        <f>C25-D25</f>
        <v/>
      </c>
      <c r="F25" s="17">
        <f>TOM_FERT</f>
        <v/>
      </c>
      <c r="G25" s="17">
        <f>D25*PERM_RATE+E25*TEMP_RATE+F25</f>
        <v/>
      </c>
      <c r="H25" s="17">
        <f>TOM_PRICE</f>
        <v/>
      </c>
      <c r="I25" s="17">
        <f>H25-G25</f>
        <v/>
      </c>
      <c r="J25" s="18">
        <f>IF(COUNTIF($I$8:I25,"&lt;0")&gt;0,"Stop","Plant")</f>
        <v/>
      </c>
      <c r="K25" s="19">
        <f>IF(A25&lt;2,0,IF(G25&lt;G24,1,0))</f>
        <v/>
      </c>
    </row>
    <row r="26">
      <c r="A26" s="14" t="n">
        <v>19</v>
      </c>
      <c r="B26" s="15">
        <f>A26*TOM_HPB*WEEKS*(1+TOM_DIM)^A26</f>
        <v/>
      </c>
      <c r="C26" s="15">
        <f>B26-B25</f>
        <v/>
      </c>
      <c r="D26" s="15">
        <f>MAX(0,MIN(C26,PERM_HOURS-B25))</f>
        <v/>
      </c>
      <c r="E26" s="15">
        <f>C26-D26</f>
        <v/>
      </c>
      <c r="F26" s="17">
        <f>TOM_FERT</f>
        <v/>
      </c>
      <c r="G26" s="17">
        <f>D26*PERM_RATE+E26*TEMP_RATE+F26</f>
        <v/>
      </c>
      <c r="H26" s="17">
        <f>TOM_PRICE</f>
        <v/>
      </c>
      <c r="I26" s="17">
        <f>H26-G26</f>
        <v/>
      </c>
      <c r="J26" s="18">
        <f>IF(COUNTIF($I$8:I26,"&lt;0")&gt;0,"Stop","Plant")</f>
        <v/>
      </c>
      <c r="K26" s="19">
        <f>IF(A26&lt;2,0,IF(G26&lt;G25,1,0))</f>
        <v/>
      </c>
    </row>
    <row r="27">
      <c r="A27" s="14" t="n">
        <v>20</v>
      </c>
      <c r="B27" s="15">
        <f>A27*TOM_HPB*WEEKS*(1+TOM_DIM)^A27</f>
        <v/>
      </c>
      <c r="C27" s="15">
        <f>B27-B26</f>
        <v/>
      </c>
      <c r="D27" s="15">
        <f>MAX(0,MIN(C27,PERM_HOURS-B26))</f>
        <v/>
      </c>
      <c r="E27" s="15">
        <f>C27-D27</f>
        <v/>
      </c>
      <c r="F27" s="17">
        <f>TOM_FERT</f>
        <v/>
      </c>
      <c r="G27" s="17">
        <f>D27*PERM_RATE+E27*TEMP_RATE+F27</f>
        <v/>
      </c>
      <c r="H27" s="17">
        <f>TOM_PRICE</f>
        <v/>
      </c>
      <c r="I27" s="17">
        <f>H27-G27</f>
        <v/>
      </c>
      <c r="J27" s="18">
        <f>IF(COUNTIF($I$8:I27,"&lt;0")&gt;0,"Stop","Plant")</f>
        <v/>
      </c>
      <c r="K27" s="19">
        <f>IF(A27&lt;2,0,IF(G27&lt;G26,1,0))</f>
        <v/>
      </c>
    </row>
    <row r="30">
      <c r="A30" s="3" t="inlineStr">
        <is>
          <t>CARROTS — standalone schedule (q = 0 to CAR_CAP)</t>
        </is>
      </c>
    </row>
    <row r="31">
      <c r="A31" s="4" t="inlineStr">
        <is>
          <t>q (beds)</t>
        </is>
      </c>
      <c r="B31" s="4" t="inlineStr">
        <is>
          <t>LABOR_HRS(q)</t>
        </is>
      </c>
      <c r="C31" s="4" t="inlineStr">
        <is>
          <t>MARGINAL_HRS(q)</t>
        </is>
      </c>
      <c r="D31" s="4" t="inlineStr">
        <is>
          <t>PERM_HRS(q)</t>
        </is>
      </c>
      <c r="E31" s="4" t="inlineStr">
        <is>
          <t>TEMP_HRS(q)</t>
        </is>
      </c>
      <c r="F31" s="4" t="inlineStr">
        <is>
          <t>Fertilizer, 1 bed</t>
        </is>
      </c>
      <c r="G31" s="4" t="inlineStr">
        <is>
          <t>MC(q)</t>
        </is>
      </c>
      <c r="H31" s="4" t="inlineStr">
        <is>
          <t>Price per bed</t>
        </is>
      </c>
      <c r="I31" s="4" t="inlineStr">
        <is>
          <t>P - MC(q)</t>
        </is>
      </c>
      <c r="J31" s="4" t="inlineStr">
        <is>
          <t>Decision (V7)</t>
        </is>
      </c>
      <c r="K31" s="4" t="inlineStr">
        <is>
          <t>Dip flag</t>
        </is>
      </c>
    </row>
    <row r="32">
      <c r="A32" s="14" t="n">
        <v>0</v>
      </c>
      <c r="B32" s="15">
        <f>A32*CAR_HPB*WEEKS*(1+CAR_DIM)^A32</f>
        <v/>
      </c>
      <c r="C32" s="16" t="inlineStr"/>
      <c r="D32" s="16" t="inlineStr"/>
      <c r="E32" s="16" t="inlineStr"/>
      <c r="F32" s="16" t="inlineStr"/>
      <c r="G32" s="16" t="inlineStr"/>
      <c r="H32" s="16" t="inlineStr"/>
      <c r="I32" s="16" t="inlineStr"/>
      <c r="J32" s="16" t="inlineStr"/>
      <c r="K32" s="16" t="inlineStr"/>
    </row>
    <row r="33">
      <c r="A33" s="14" t="n">
        <v>1</v>
      </c>
      <c r="B33" s="15">
        <f>A33*CAR_HPB*WEEKS*(1+CAR_DIM)^A33</f>
        <v/>
      </c>
      <c r="C33" s="15">
        <f>B33-B32</f>
        <v/>
      </c>
      <c r="D33" s="15">
        <f>MAX(0,MIN(C33,PERM_HOURS-B32))</f>
        <v/>
      </c>
      <c r="E33" s="15">
        <f>C33-D33</f>
        <v/>
      </c>
      <c r="F33" s="17">
        <f>CAR_FERT</f>
        <v/>
      </c>
      <c r="G33" s="17">
        <f>D33*PERM_RATE+E33*TEMP_RATE+F33</f>
        <v/>
      </c>
      <c r="H33" s="17">
        <f>CAR_PRICE</f>
        <v/>
      </c>
      <c r="I33" s="17">
        <f>H33-G33</f>
        <v/>
      </c>
      <c r="J33" s="18">
        <f>IF(COUNTIF($I$33:I33,"&lt;0")&gt;0,"Stop","Plant")</f>
        <v/>
      </c>
      <c r="K33" s="19">
        <f>IF(A33&lt;2,0,IF(G33&lt;G32,1,0))</f>
        <v/>
      </c>
    </row>
    <row r="34">
      <c r="A34" s="14" t="n">
        <v>2</v>
      </c>
      <c r="B34" s="15">
        <f>A34*CAR_HPB*WEEKS*(1+CAR_DIM)^A34</f>
        <v/>
      </c>
      <c r="C34" s="15">
        <f>B34-B33</f>
        <v/>
      </c>
      <c r="D34" s="15">
        <f>MAX(0,MIN(C34,PERM_HOURS-B33))</f>
        <v/>
      </c>
      <c r="E34" s="15">
        <f>C34-D34</f>
        <v/>
      </c>
      <c r="F34" s="17">
        <f>CAR_FERT</f>
        <v/>
      </c>
      <c r="G34" s="17">
        <f>D34*PERM_RATE+E34*TEMP_RATE+F34</f>
        <v/>
      </c>
      <c r="H34" s="17">
        <f>CAR_PRICE</f>
        <v/>
      </c>
      <c r="I34" s="17">
        <f>H34-G34</f>
        <v/>
      </c>
      <c r="J34" s="18">
        <f>IF(COUNTIF($I$33:I34,"&lt;0")&gt;0,"Stop","Plant")</f>
        <v/>
      </c>
      <c r="K34" s="19">
        <f>IF(A34&lt;2,0,IF(G34&lt;G33,1,0))</f>
        <v/>
      </c>
    </row>
    <row r="35">
      <c r="A35" s="14" t="n">
        <v>3</v>
      </c>
      <c r="B35" s="15">
        <f>A35*CAR_HPB*WEEKS*(1+CAR_DIM)^A35</f>
        <v/>
      </c>
      <c r="C35" s="15">
        <f>B35-B34</f>
        <v/>
      </c>
      <c r="D35" s="15">
        <f>MAX(0,MIN(C35,PERM_HOURS-B34))</f>
        <v/>
      </c>
      <c r="E35" s="15">
        <f>C35-D35</f>
        <v/>
      </c>
      <c r="F35" s="17">
        <f>CAR_FERT</f>
        <v/>
      </c>
      <c r="G35" s="17">
        <f>D35*PERM_RATE+E35*TEMP_RATE+F35</f>
        <v/>
      </c>
      <c r="H35" s="17">
        <f>CAR_PRICE</f>
        <v/>
      </c>
      <c r="I35" s="17">
        <f>H35-G35</f>
        <v/>
      </c>
      <c r="J35" s="18">
        <f>IF(COUNTIF($I$33:I35,"&lt;0")&gt;0,"Stop","Plant")</f>
        <v/>
      </c>
      <c r="K35" s="19">
        <f>IF(A35&lt;2,0,IF(G35&lt;G34,1,0))</f>
        <v/>
      </c>
    </row>
    <row r="36">
      <c r="A36" s="14" t="n">
        <v>4</v>
      </c>
      <c r="B36" s="15">
        <f>A36*CAR_HPB*WEEKS*(1+CAR_DIM)^A36</f>
        <v/>
      </c>
      <c r="C36" s="15">
        <f>B36-B35</f>
        <v/>
      </c>
      <c r="D36" s="15">
        <f>MAX(0,MIN(C36,PERM_HOURS-B35))</f>
        <v/>
      </c>
      <c r="E36" s="15">
        <f>C36-D36</f>
        <v/>
      </c>
      <c r="F36" s="17">
        <f>CAR_FERT</f>
        <v/>
      </c>
      <c r="G36" s="17">
        <f>D36*PERM_RATE+E36*TEMP_RATE+F36</f>
        <v/>
      </c>
      <c r="H36" s="17">
        <f>CAR_PRICE</f>
        <v/>
      </c>
      <c r="I36" s="17">
        <f>H36-G36</f>
        <v/>
      </c>
      <c r="J36" s="18">
        <f>IF(COUNTIF($I$33:I36,"&lt;0")&gt;0,"Stop","Plant")</f>
        <v/>
      </c>
      <c r="K36" s="19">
        <f>IF(A36&lt;2,0,IF(G36&lt;G35,1,0))</f>
        <v/>
      </c>
    </row>
    <row r="37">
      <c r="A37" s="14" t="n">
        <v>5</v>
      </c>
      <c r="B37" s="15">
        <f>A37*CAR_HPB*WEEKS*(1+CAR_DIM)^A37</f>
        <v/>
      </c>
      <c r="C37" s="15">
        <f>B37-B36</f>
        <v/>
      </c>
      <c r="D37" s="15">
        <f>MAX(0,MIN(C37,PERM_HOURS-B36))</f>
        <v/>
      </c>
      <c r="E37" s="15">
        <f>C37-D37</f>
        <v/>
      </c>
      <c r="F37" s="17">
        <f>CAR_FERT</f>
        <v/>
      </c>
      <c r="G37" s="17">
        <f>D37*PERM_RATE+E37*TEMP_RATE+F37</f>
        <v/>
      </c>
      <c r="H37" s="17">
        <f>CAR_PRICE</f>
        <v/>
      </c>
      <c r="I37" s="17">
        <f>H37-G37</f>
        <v/>
      </c>
      <c r="J37" s="18">
        <f>IF(COUNTIF($I$33:I37,"&lt;0")&gt;0,"Stop","Plant")</f>
        <v/>
      </c>
      <c r="K37" s="19">
        <f>IF(A37&lt;2,0,IF(G37&lt;G36,1,0))</f>
        <v/>
      </c>
    </row>
    <row r="38">
      <c r="A38" s="14" t="n">
        <v>6</v>
      </c>
      <c r="B38" s="15">
        <f>A38*CAR_HPB*WEEKS*(1+CAR_DIM)^A38</f>
        <v/>
      </c>
      <c r="C38" s="15">
        <f>B38-B37</f>
        <v/>
      </c>
      <c r="D38" s="15">
        <f>MAX(0,MIN(C38,PERM_HOURS-B37))</f>
        <v/>
      </c>
      <c r="E38" s="15">
        <f>C38-D38</f>
        <v/>
      </c>
      <c r="F38" s="17">
        <f>CAR_FERT</f>
        <v/>
      </c>
      <c r="G38" s="17">
        <f>D38*PERM_RATE+E38*TEMP_RATE+F38</f>
        <v/>
      </c>
      <c r="H38" s="17">
        <f>CAR_PRICE</f>
        <v/>
      </c>
      <c r="I38" s="17">
        <f>H38-G38</f>
        <v/>
      </c>
      <c r="J38" s="18">
        <f>IF(COUNTIF($I$33:I38,"&lt;0")&gt;0,"Stop","Plant")</f>
        <v/>
      </c>
      <c r="K38" s="19">
        <f>IF(A38&lt;2,0,IF(G38&lt;G37,1,0))</f>
        <v/>
      </c>
    </row>
    <row r="39">
      <c r="A39" s="14" t="n">
        <v>7</v>
      </c>
      <c r="B39" s="15">
        <f>A39*CAR_HPB*WEEKS*(1+CAR_DIM)^A39</f>
        <v/>
      </c>
      <c r="C39" s="15">
        <f>B39-B38</f>
        <v/>
      </c>
      <c r="D39" s="15">
        <f>MAX(0,MIN(C39,PERM_HOURS-B38))</f>
        <v/>
      </c>
      <c r="E39" s="15">
        <f>C39-D39</f>
        <v/>
      </c>
      <c r="F39" s="17">
        <f>CAR_FERT</f>
        <v/>
      </c>
      <c r="G39" s="17">
        <f>D39*PERM_RATE+E39*TEMP_RATE+F39</f>
        <v/>
      </c>
      <c r="H39" s="17">
        <f>CAR_PRICE</f>
        <v/>
      </c>
      <c r="I39" s="17">
        <f>H39-G39</f>
        <v/>
      </c>
      <c r="J39" s="18">
        <f>IF(COUNTIF($I$33:I39,"&lt;0")&gt;0,"Stop","Plant")</f>
        <v/>
      </c>
      <c r="K39" s="19">
        <f>IF(A39&lt;2,0,IF(G39&lt;G38,1,0))</f>
        <v/>
      </c>
    </row>
    <row r="40">
      <c r="A40" s="14" t="n">
        <v>8</v>
      </c>
      <c r="B40" s="15">
        <f>A40*CAR_HPB*WEEKS*(1+CAR_DIM)^A40</f>
        <v/>
      </c>
      <c r="C40" s="15">
        <f>B40-B39</f>
        <v/>
      </c>
      <c r="D40" s="15">
        <f>MAX(0,MIN(C40,PERM_HOURS-B39))</f>
        <v/>
      </c>
      <c r="E40" s="15">
        <f>C40-D40</f>
        <v/>
      </c>
      <c r="F40" s="17">
        <f>CAR_FERT</f>
        <v/>
      </c>
      <c r="G40" s="17">
        <f>D40*PERM_RATE+E40*TEMP_RATE+F40</f>
        <v/>
      </c>
      <c r="H40" s="17">
        <f>CAR_PRICE</f>
        <v/>
      </c>
      <c r="I40" s="17">
        <f>H40-G40</f>
        <v/>
      </c>
      <c r="J40" s="18">
        <f>IF(COUNTIF($I$33:I40,"&lt;0")&gt;0,"Stop","Plant")</f>
        <v/>
      </c>
      <c r="K40" s="19">
        <f>IF(A40&lt;2,0,IF(G40&lt;G39,1,0))</f>
        <v/>
      </c>
    </row>
    <row r="41">
      <c r="A41" s="14" t="n">
        <v>9</v>
      </c>
      <c r="B41" s="15">
        <f>A41*CAR_HPB*WEEKS*(1+CAR_DIM)^A41</f>
        <v/>
      </c>
      <c r="C41" s="15">
        <f>B41-B40</f>
        <v/>
      </c>
      <c r="D41" s="15">
        <f>MAX(0,MIN(C41,PERM_HOURS-B40))</f>
        <v/>
      </c>
      <c r="E41" s="15">
        <f>C41-D41</f>
        <v/>
      </c>
      <c r="F41" s="17">
        <f>CAR_FERT</f>
        <v/>
      </c>
      <c r="G41" s="17">
        <f>D41*PERM_RATE+E41*TEMP_RATE+F41</f>
        <v/>
      </c>
      <c r="H41" s="17">
        <f>CAR_PRICE</f>
        <v/>
      </c>
      <c r="I41" s="17">
        <f>H41-G41</f>
        <v/>
      </c>
      <c r="J41" s="18">
        <f>IF(COUNTIF($I$33:I41,"&lt;0")&gt;0,"Stop","Plant")</f>
        <v/>
      </c>
      <c r="K41" s="19">
        <f>IF(A41&lt;2,0,IF(G41&lt;G40,1,0))</f>
        <v/>
      </c>
    </row>
    <row r="42">
      <c r="A42" s="14" t="n">
        <v>10</v>
      </c>
      <c r="B42" s="15">
        <f>A42*CAR_HPB*WEEKS*(1+CAR_DIM)^A42</f>
        <v/>
      </c>
      <c r="C42" s="15">
        <f>B42-B41</f>
        <v/>
      </c>
      <c r="D42" s="15">
        <f>MAX(0,MIN(C42,PERM_HOURS-B41))</f>
        <v/>
      </c>
      <c r="E42" s="15">
        <f>C42-D42</f>
        <v/>
      </c>
      <c r="F42" s="17">
        <f>CAR_FERT</f>
        <v/>
      </c>
      <c r="G42" s="17">
        <f>D42*PERM_RATE+E42*TEMP_RATE+F42</f>
        <v/>
      </c>
      <c r="H42" s="17">
        <f>CAR_PRICE</f>
        <v/>
      </c>
      <c r="I42" s="17">
        <f>H42-G42</f>
        <v/>
      </c>
      <c r="J42" s="18">
        <f>IF(COUNTIF($I$33:I42,"&lt;0")&gt;0,"Stop","Plant")</f>
        <v/>
      </c>
      <c r="K42" s="19">
        <f>IF(A42&lt;2,0,IF(G42&lt;G41,1,0))</f>
        <v/>
      </c>
    </row>
    <row r="43">
      <c r="A43" s="14" t="n">
        <v>11</v>
      </c>
      <c r="B43" s="15">
        <f>A43*CAR_HPB*WEEKS*(1+CAR_DIM)^A43</f>
        <v/>
      </c>
      <c r="C43" s="15">
        <f>B43-B42</f>
        <v/>
      </c>
      <c r="D43" s="15">
        <f>MAX(0,MIN(C43,PERM_HOURS-B42))</f>
        <v/>
      </c>
      <c r="E43" s="15">
        <f>C43-D43</f>
        <v/>
      </c>
      <c r="F43" s="17">
        <f>CAR_FERT</f>
        <v/>
      </c>
      <c r="G43" s="17">
        <f>D43*PERM_RATE+E43*TEMP_RATE+F43</f>
        <v/>
      </c>
      <c r="H43" s="17">
        <f>CAR_PRICE</f>
        <v/>
      </c>
      <c r="I43" s="17">
        <f>H43-G43</f>
        <v/>
      </c>
      <c r="J43" s="18">
        <f>IF(COUNTIF($I$33:I43,"&lt;0")&gt;0,"Stop","Plant")</f>
        <v/>
      </c>
      <c r="K43" s="19">
        <f>IF(A43&lt;2,0,IF(G43&lt;G42,1,0))</f>
        <v/>
      </c>
    </row>
    <row r="44">
      <c r="A44" s="14" t="n">
        <v>12</v>
      </c>
      <c r="B44" s="15">
        <f>A44*CAR_HPB*WEEKS*(1+CAR_DIM)^A44</f>
        <v/>
      </c>
      <c r="C44" s="15">
        <f>B44-B43</f>
        <v/>
      </c>
      <c r="D44" s="15">
        <f>MAX(0,MIN(C44,PERM_HOURS-B43))</f>
        <v/>
      </c>
      <c r="E44" s="15">
        <f>C44-D44</f>
        <v/>
      </c>
      <c r="F44" s="17">
        <f>CAR_FERT</f>
        <v/>
      </c>
      <c r="G44" s="17">
        <f>D44*PERM_RATE+E44*TEMP_RATE+F44</f>
        <v/>
      </c>
      <c r="H44" s="17">
        <f>CAR_PRICE</f>
        <v/>
      </c>
      <c r="I44" s="17">
        <f>H44-G44</f>
        <v/>
      </c>
      <c r="J44" s="18">
        <f>IF(COUNTIF($I$33:I44,"&lt;0")&gt;0,"Stop","Plant")</f>
        <v/>
      </c>
      <c r="K44" s="19">
        <f>IF(A44&lt;2,0,IF(G44&lt;G43,1,0))</f>
        <v/>
      </c>
    </row>
    <row r="45">
      <c r="A45" s="14" t="n">
        <v>13</v>
      </c>
      <c r="B45" s="15">
        <f>A45*CAR_HPB*WEEKS*(1+CAR_DIM)^A45</f>
        <v/>
      </c>
      <c r="C45" s="15">
        <f>B45-B44</f>
        <v/>
      </c>
      <c r="D45" s="15">
        <f>MAX(0,MIN(C45,PERM_HOURS-B44))</f>
        <v/>
      </c>
      <c r="E45" s="15">
        <f>C45-D45</f>
        <v/>
      </c>
      <c r="F45" s="17">
        <f>CAR_FERT</f>
        <v/>
      </c>
      <c r="G45" s="17">
        <f>D45*PERM_RATE+E45*TEMP_RATE+F45</f>
        <v/>
      </c>
      <c r="H45" s="17">
        <f>CAR_PRICE</f>
        <v/>
      </c>
      <c r="I45" s="17">
        <f>H45-G45</f>
        <v/>
      </c>
      <c r="J45" s="18">
        <f>IF(COUNTIF($I$33:I45,"&lt;0")&gt;0,"Stop","Plant")</f>
        <v/>
      </c>
      <c r="K45" s="19">
        <f>IF(A45&lt;2,0,IF(G45&lt;G44,1,0))</f>
        <v/>
      </c>
    </row>
    <row r="46">
      <c r="A46" s="14" t="n">
        <v>14</v>
      </c>
      <c r="B46" s="15">
        <f>A46*CAR_HPB*WEEKS*(1+CAR_DIM)^A46</f>
        <v/>
      </c>
      <c r="C46" s="15">
        <f>B46-B45</f>
        <v/>
      </c>
      <c r="D46" s="15">
        <f>MAX(0,MIN(C46,PERM_HOURS-B45))</f>
        <v/>
      </c>
      <c r="E46" s="15">
        <f>C46-D46</f>
        <v/>
      </c>
      <c r="F46" s="17">
        <f>CAR_FERT</f>
        <v/>
      </c>
      <c r="G46" s="17">
        <f>D46*PERM_RATE+E46*TEMP_RATE+F46</f>
        <v/>
      </c>
      <c r="H46" s="17">
        <f>CAR_PRICE</f>
        <v/>
      </c>
      <c r="I46" s="17">
        <f>H46-G46</f>
        <v/>
      </c>
      <c r="J46" s="18">
        <f>IF(COUNTIF($I$33:I46,"&lt;0")&gt;0,"Stop","Plant")</f>
        <v/>
      </c>
      <c r="K46" s="19">
        <f>IF(A46&lt;2,0,IF(G46&lt;G45,1,0))</f>
        <v/>
      </c>
    </row>
    <row r="47">
      <c r="A47" s="14" t="n">
        <v>15</v>
      </c>
      <c r="B47" s="15">
        <f>A47*CAR_HPB*WEEKS*(1+CAR_DIM)^A47</f>
        <v/>
      </c>
      <c r="C47" s="15">
        <f>B47-B46</f>
        <v/>
      </c>
      <c r="D47" s="15">
        <f>MAX(0,MIN(C47,PERM_HOURS-B46))</f>
        <v/>
      </c>
      <c r="E47" s="15">
        <f>C47-D47</f>
        <v/>
      </c>
      <c r="F47" s="17">
        <f>CAR_FERT</f>
        <v/>
      </c>
      <c r="G47" s="17">
        <f>D47*PERM_RATE+E47*TEMP_RATE+F47</f>
        <v/>
      </c>
      <c r="H47" s="17">
        <f>CAR_PRICE</f>
        <v/>
      </c>
      <c r="I47" s="17">
        <f>H47-G47</f>
        <v/>
      </c>
      <c r="J47" s="18">
        <f>IF(COUNTIF($I$33:I47,"&lt;0")&gt;0,"Stop","Plant")</f>
        <v/>
      </c>
      <c r="K47" s="19">
        <f>IF(A47&lt;2,0,IF(G47&lt;G46,1,0))</f>
        <v/>
      </c>
    </row>
    <row r="48">
      <c r="A48" s="14" t="n">
        <v>16</v>
      </c>
      <c r="B48" s="15">
        <f>A48*CAR_HPB*WEEKS*(1+CAR_DIM)^A48</f>
        <v/>
      </c>
      <c r="C48" s="15">
        <f>B48-B47</f>
        <v/>
      </c>
      <c r="D48" s="15">
        <f>MAX(0,MIN(C48,PERM_HOURS-B47))</f>
        <v/>
      </c>
      <c r="E48" s="15">
        <f>C48-D48</f>
        <v/>
      </c>
      <c r="F48" s="17">
        <f>CAR_FERT</f>
        <v/>
      </c>
      <c r="G48" s="17">
        <f>D48*PERM_RATE+E48*TEMP_RATE+F48</f>
        <v/>
      </c>
      <c r="H48" s="17">
        <f>CAR_PRICE</f>
        <v/>
      </c>
      <c r="I48" s="17">
        <f>H48-G48</f>
        <v/>
      </c>
      <c r="J48" s="18">
        <f>IF(COUNTIF($I$33:I48,"&lt;0")&gt;0,"Stop","Plant")</f>
        <v/>
      </c>
      <c r="K48" s="19">
        <f>IF(A48&lt;2,0,IF(G48&lt;G47,1,0))</f>
        <v/>
      </c>
    </row>
    <row r="49">
      <c r="A49" s="14" t="n">
        <v>17</v>
      </c>
      <c r="B49" s="15">
        <f>A49*CAR_HPB*WEEKS*(1+CAR_DIM)^A49</f>
        <v/>
      </c>
      <c r="C49" s="15">
        <f>B49-B48</f>
        <v/>
      </c>
      <c r="D49" s="15">
        <f>MAX(0,MIN(C49,PERM_HOURS-B48))</f>
        <v/>
      </c>
      <c r="E49" s="15">
        <f>C49-D49</f>
        <v/>
      </c>
      <c r="F49" s="17">
        <f>CAR_FERT</f>
        <v/>
      </c>
      <c r="G49" s="17">
        <f>D49*PERM_RATE+E49*TEMP_RATE+F49</f>
        <v/>
      </c>
      <c r="H49" s="17">
        <f>CAR_PRICE</f>
        <v/>
      </c>
      <c r="I49" s="17">
        <f>H49-G49</f>
        <v/>
      </c>
      <c r="J49" s="18">
        <f>IF(COUNTIF($I$33:I49,"&lt;0")&gt;0,"Stop","Plant")</f>
        <v/>
      </c>
      <c r="K49" s="19">
        <f>IF(A49&lt;2,0,IF(G49&lt;G48,1,0))</f>
        <v/>
      </c>
    </row>
    <row r="50">
      <c r="A50" s="14" t="n">
        <v>18</v>
      </c>
      <c r="B50" s="15">
        <f>A50*CAR_HPB*WEEKS*(1+CAR_DIM)^A50</f>
        <v/>
      </c>
      <c r="C50" s="15">
        <f>B50-B49</f>
        <v/>
      </c>
      <c r="D50" s="15">
        <f>MAX(0,MIN(C50,PERM_HOURS-B49))</f>
        <v/>
      </c>
      <c r="E50" s="15">
        <f>C50-D50</f>
        <v/>
      </c>
      <c r="F50" s="17">
        <f>CAR_FERT</f>
        <v/>
      </c>
      <c r="G50" s="17">
        <f>D50*PERM_RATE+E50*TEMP_RATE+F50</f>
        <v/>
      </c>
      <c r="H50" s="17">
        <f>CAR_PRICE</f>
        <v/>
      </c>
      <c r="I50" s="17">
        <f>H50-G50</f>
        <v/>
      </c>
      <c r="J50" s="18">
        <f>IF(COUNTIF($I$33:I50,"&lt;0")&gt;0,"Stop","Plant")</f>
        <v/>
      </c>
      <c r="K50" s="19">
        <f>IF(A50&lt;2,0,IF(G50&lt;G49,1,0))</f>
        <v/>
      </c>
    </row>
    <row r="51">
      <c r="A51" s="14" t="n">
        <v>19</v>
      </c>
      <c r="B51" s="15">
        <f>A51*CAR_HPB*WEEKS*(1+CAR_DIM)^A51</f>
        <v/>
      </c>
      <c r="C51" s="15">
        <f>B51-B50</f>
        <v/>
      </c>
      <c r="D51" s="15">
        <f>MAX(0,MIN(C51,PERM_HOURS-B50))</f>
        <v/>
      </c>
      <c r="E51" s="15">
        <f>C51-D51</f>
        <v/>
      </c>
      <c r="F51" s="17">
        <f>CAR_FERT</f>
        <v/>
      </c>
      <c r="G51" s="17">
        <f>D51*PERM_RATE+E51*TEMP_RATE+F51</f>
        <v/>
      </c>
      <c r="H51" s="17">
        <f>CAR_PRICE</f>
        <v/>
      </c>
      <c r="I51" s="17">
        <f>H51-G51</f>
        <v/>
      </c>
      <c r="J51" s="18">
        <f>IF(COUNTIF($I$33:I51,"&lt;0")&gt;0,"Stop","Plant")</f>
        <v/>
      </c>
      <c r="K51" s="19">
        <f>IF(A51&lt;2,0,IF(G51&lt;G50,1,0))</f>
        <v/>
      </c>
    </row>
    <row r="52">
      <c r="A52" s="14" t="n">
        <v>20</v>
      </c>
      <c r="B52" s="15">
        <f>A52*CAR_HPB*WEEKS*(1+CAR_DIM)^A52</f>
        <v/>
      </c>
      <c r="C52" s="15">
        <f>B52-B51</f>
        <v/>
      </c>
      <c r="D52" s="15">
        <f>MAX(0,MIN(C52,PERM_HOURS-B51))</f>
        <v/>
      </c>
      <c r="E52" s="15">
        <f>C52-D52</f>
        <v/>
      </c>
      <c r="F52" s="17">
        <f>CAR_FERT</f>
        <v/>
      </c>
      <c r="G52" s="17">
        <f>D52*PERM_RATE+E52*TEMP_RATE+F52</f>
        <v/>
      </c>
      <c r="H52" s="17">
        <f>CAR_PRICE</f>
        <v/>
      </c>
      <c r="I52" s="17">
        <f>H52-G52</f>
        <v/>
      </c>
      <c r="J52" s="18">
        <f>IF(COUNTIF($I$33:I52,"&lt;0")&gt;0,"Stop","Plant")</f>
        <v/>
      </c>
      <c r="K52" s="19">
        <f>IF(A52&lt;2,0,IF(G52&lt;G51,1,0))</f>
        <v/>
      </c>
    </row>
    <row r="55">
      <c r="A55" s="3" t="inlineStr">
        <is>
          <t>MESCLUN — standalone schedule (q = 0 to MES_CAP)</t>
        </is>
      </c>
    </row>
    <row r="56">
      <c r="A56" s="4" t="inlineStr">
        <is>
          <t>q (beds)</t>
        </is>
      </c>
      <c r="B56" s="4" t="inlineStr">
        <is>
          <t>LABOR_HRS(q)</t>
        </is>
      </c>
      <c r="C56" s="4" t="inlineStr">
        <is>
          <t>MARGINAL_HRS(q)</t>
        </is>
      </c>
      <c r="D56" s="4" t="inlineStr">
        <is>
          <t>PERM_HRS(q)</t>
        </is>
      </c>
      <c r="E56" s="4" t="inlineStr">
        <is>
          <t>TEMP_HRS(q)</t>
        </is>
      </c>
      <c r="F56" s="4" t="inlineStr">
        <is>
          <t>Fertilizer, 1 bed</t>
        </is>
      </c>
      <c r="G56" s="4" t="inlineStr">
        <is>
          <t>MC(q)</t>
        </is>
      </c>
      <c r="H56" s="4" t="inlineStr">
        <is>
          <t>Price per bed</t>
        </is>
      </c>
      <c r="I56" s="4" t="inlineStr">
        <is>
          <t>P - MC(q)</t>
        </is>
      </c>
      <c r="J56" s="4" t="inlineStr">
        <is>
          <t>Decision (V7)</t>
        </is>
      </c>
      <c r="K56" s="4" t="inlineStr">
        <is>
          <t>Dip flag</t>
        </is>
      </c>
    </row>
    <row r="57">
      <c r="A57" s="14" t="n">
        <v>0</v>
      </c>
      <c r="B57" s="15">
        <f>A57*MES_HPB*WEEKS*(1+MES_DIM)^A57</f>
        <v/>
      </c>
      <c r="C57" s="16" t="inlineStr"/>
      <c r="D57" s="16" t="inlineStr"/>
      <c r="E57" s="16" t="inlineStr"/>
      <c r="F57" s="16" t="inlineStr"/>
      <c r="G57" s="16" t="inlineStr"/>
      <c r="H57" s="16" t="inlineStr"/>
      <c r="I57" s="16" t="inlineStr"/>
      <c r="J57" s="16" t="inlineStr"/>
      <c r="K57" s="16" t="inlineStr"/>
    </row>
    <row r="58">
      <c r="A58" s="14" t="n">
        <v>1</v>
      </c>
      <c r="B58" s="15">
        <f>A58*MES_HPB*WEEKS*(1+MES_DIM)^A58</f>
        <v/>
      </c>
      <c r="C58" s="15">
        <f>B58-B57</f>
        <v/>
      </c>
      <c r="D58" s="15">
        <f>MAX(0,MIN(C58,PERM_HOURS-B57))</f>
        <v/>
      </c>
      <c r="E58" s="15">
        <f>C58-D58</f>
        <v/>
      </c>
      <c r="F58" s="17">
        <f>MES_FERT</f>
        <v/>
      </c>
      <c r="G58" s="17">
        <f>D58*PERM_RATE+E58*TEMP_RATE+F58</f>
        <v/>
      </c>
      <c r="H58" s="17">
        <f>MES_PRICE</f>
        <v/>
      </c>
      <c r="I58" s="17">
        <f>H58-G58</f>
        <v/>
      </c>
      <c r="J58" s="18">
        <f>IF(COUNTIF($I$58:I58,"&lt;0")&gt;0,"Stop","Plant")</f>
        <v/>
      </c>
      <c r="K58" s="19">
        <f>IF(A58&lt;2,0,IF(G58&lt;G57,1,0))</f>
        <v/>
      </c>
    </row>
    <row r="59">
      <c r="A59" s="14" t="n">
        <v>2</v>
      </c>
      <c r="B59" s="15">
        <f>A59*MES_HPB*WEEKS*(1+MES_DIM)^A59</f>
        <v/>
      </c>
      <c r="C59" s="15">
        <f>B59-B58</f>
        <v/>
      </c>
      <c r="D59" s="15">
        <f>MAX(0,MIN(C59,PERM_HOURS-B58))</f>
        <v/>
      </c>
      <c r="E59" s="15">
        <f>C59-D59</f>
        <v/>
      </c>
      <c r="F59" s="17">
        <f>MES_FERT</f>
        <v/>
      </c>
      <c r="G59" s="17">
        <f>D59*PERM_RATE+E59*TEMP_RATE+F59</f>
        <v/>
      </c>
      <c r="H59" s="17">
        <f>MES_PRICE</f>
        <v/>
      </c>
      <c r="I59" s="17">
        <f>H59-G59</f>
        <v/>
      </c>
      <c r="J59" s="18">
        <f>IF(COUNTIF($I$58:I59,"&lt;0")&gt;0,"Stop","Plant")</f>
        <v/>
      </c>
      <c r="K59" s="19">
        <f>IF(A59&lt;2,0,IF(G59&lt;G58,1,0))</f>
        <v/>
      </c>
    </row>
    <row r="60">
      <c r="A60" s="14" t="n">
        <v>3</v>
      </c>
      <c r="B60" s="15">
        <f>A60*MES_HPB*WEEKS*(1+MES_DIM)^A60</f>
        <v/>
      </c>
      <c r="C60" s="15">
        <f>B60-B59</f>
        <v/>
      </c>
      <c r="D60" s="15">
        <f>MAX(0,MIN(C60,PERM_HOURS-B59))</f>
        <v/>
      </c>
      <c r="E60" s="15">
        <f>C60-D60</f>
        <v/>
      </c>
      <c r="F60" s="17">
        <f>MES_FERT</f>
        <v/>
      </c>
      <c r="G60" s="17">
        <f>D60*PERM_RATE+E60*TEMP_RATE+F60</f>
        <v/>
      </c>
      <c r="H60" s="17">
        <f>MES_PRICE</f>
        <v/>
      </c>
      <c r="I60" s="17">
        <f>H60-G60</f>
        <v/>
      </c>
      <c r="J60" s="18">
        <f>IF(COUNTIF($I$58:I60,"&lt;0")&gt;0,"Stop","Plant")</f>
        <v/>
      </c>
      <c r="K60" s="19">
        <f>IF(A60&lt;2,0,IF(G60&lt;G59,1,0))</f>
        <v/>
      </c>
    </row>
    <row r="61">
      <c r="A61" s="14" t="n">
        <v>4</v>
      </c>
      <c r="B61" s="15">
        <f>A61*MES_HPB*WEEKS*(1+MES_DIM)^A61</f>
        <v/>
      </c>
      <c r="C61" s="15">
        <f>B61-B60</f>
        <v/>
      </c>
      <c r="D61" s="15">
        <f>MAX(0,MIN(C61,PERM_HOURS-B60))</f>
        <v/>
      </c>
      <c r="E61" s="15">
        <f>C61-D61</f>
        <v/>
      </c>
      <c r="F61" s="17">
        <f>MES_FERT</f>
        <v/>
      </c>
      <c r="G61" s="17">
        <f>D61*PERM_RATE+E61*TEMP_RATE+F61</f>
        <v/>
      </c>
      <c r="H61" s="17">
        <f>MES_PRICE</f>
        <v/>
      </c>
      <c r="I61" s="17">
        <f>H61-G61</f>
        <v/>
      </c>
      <c r="J61" s="18">
        <f>IF(COUNTIF($I$58:I61,"&lt;0")&gt;0,"Stop","Plant")</f>
        <v/>
      </c>
      <c r="K61" s="19">
        <f>IF(A61&lt;2,0,IF(G61&lt;G60,1,0))</f>
        <v/>
      </c>
    </row>
    <row r="62">
      <c r="A62" s="14" t="n">
        <v>5</v>
      </c>
      <c r="B62" s="15">
        <f>A62*MES_HPB*WEEKS*(1+MES_DIM)^A62</f>
        <v/>
      </c>
      <c r="C62" s="15">
        <f>B62-B61</f>
        <v/>
      </c>
      <c r="D62" s="15">
        <f>MAX(0,MIN(C62,PERM_HOURS-B61))</f>
        <v/>
      </c>
      <c r="E62" s="15">
        <f>C62-D62</f>
        <v/>
      </c>
      <c r="F62" s="17">
        <f>MES_FERT</f>
        <v/>
      </c>
      <c r="G62" s="17">
        <f>D62*PERM_RATE+E62*TEMP_RATE+F62</f>
        <v/>
      </c>
      <c r="H62" s="17">
        <f>MES_PRICE</f>
        <v/>
      </c>
      <c r="I62" s="17">
        <f>H62-G62</f>
        <v/>
      </c>
      <c r="J62" s="18">
        <f>IF(COUNTIF($I$58:I62,"&lt;0")&gt;0,"Stop","Plant")</f>
        <v/>
      </c>
      <c r="K62" s="19">
        <f>IF(A62&lt;2,0,IF(G62&lt;G61,1,0))</f>
        <v/>
      </c>
    </row>
    <row r="63">
      <c r="A63" s="14" t="n">
        <v>6</v>
      </c>
      <c r="B63" s="15">
        <f>A63*MES_HPB*WEEKS*(1+MES_DIM)^A63</f>
        <v/>
      </c>
      <c r="C63" s="15">
        <f>B63-B62</f>
        <v/>
      </c>
      <c r="D63" s="15">
        <f>MAX(0,MIN(C63,PERM_HOURS-B62))</f>
        <v/>
      </c>
      <c r="E63" s="15">
        <f>C63-D63</f>
        <v/>
      </c>
      <c r="F63" s="17">
        <f>MES_FERT</f>
        <v/>
      </c>
      <c r="G63" s="17">
        <f>D63*PERM_RATE+E63*TEMP_RATE+F63</f>
        <v/>
      </c>
      <c r="H63" s="17">
        <f>MES_PRICE</f>
        <v/>
      </c>
      <c r="I63" s="17">
        <f>H63-G63</f>
        <v/>
      </c>
      <c r="J63" s="18">
        <f>IF(COUNTIF($I$58:I63,"&lt;0")&gt;0,"Stop","Plant")</f>
        <v/>
      </c>
      <c r="K63" s="19">
        <f>IF(A63&lt;2,0,IF(G63&lt;G62,1,0))</f>
        <v/>
      </c>
    </row>
    <row r="64">
      <c r="A64" s="14" t="n">
        <v>7</v>
      </c>
      <c r="B64" s="15">
        <f>A64*MES_HPB*WEEKS*(1+MES_DIM)^A64</f>
        <v/>
      </c>
      <c r="C64" s="15">
        <f>B64-B63</f>
        <v/>
      </c>
      <c r="D64" s="15">
        <f>MAX(0,MIN(C64,PERM_HOURS-B63))</f>
        <v/>
      </c>
      <c r="E64" s="15">
        <f>C64-D64</f>
        <v/>
      </c>
      <c r="F64" s="17">
        <f>MES_FERT</f>
        <v/>
      </c>
      <c r="G64" s="17">
        <f>D64*PERM_RATE+E64*TEMP_RATE+F64</f>
        <v/>
      </c>
      <c r="H64" s="17">
        <f>MES_PRICE</f>
        <v/>
      </c>
      <c r="I64" s="17">
        <f>H64-G64</f>
        <v/>
      </c>
      <c r="J64" s="18">
        <f>IF(COUNTIF($I$58:I64,"&lt;0")&gt;0,"Stop","Plant")</f>
        <v/>
      </c>
      <c r="K64" s="19">
        <f>IF(A64&lt;2,0,IF(G64&lt;G63,1,0))</f>
        <v/>
      </c>
    </row>
    <row r="65">
      <c r="A65" s="14" t="n">
        <v>8</v>
      </c>
      <c r="B65" s="15">
        <f>A65*MES_HPB*WEEKS*(1+MES_DIM)^A65</f>
        <v/>
      </c>
      <c r="C65" s="15">
        <f>B65-B64</f>
        <v/>
      </c>
      <c r="D65" s="15">
        <f>MAX(0,MIN(C65,PERM_HOURS-B64))</f>
        <v/>
      </c>
      <c r="E65" s="15">
        <f>C65-D65</f>
        <v/>
      </c>
      <c r="F65" s="17">
        <f>MES_FERT</f>
        <v/>
      </c>
      <c r="G65" s="17">
        <f>D65*PERM_RATE+E65*TEMP_RATE+F65</f>
        <v/>
      </c>
      <c r="H65" s="17">
        <f>MES_PRICE</f>
        <v/>
      </c>
      <c r="I65" s="17">
        <f>H65-G65</f>
        <v/>
      </c>
      <c r="J65" s="18">
        <f>IF(COUNTIF($I$58:I65,"&lt;0")&gt;0,"Stop","Plant")</f>
        <v/>
      </c>
      <c r="K65" s="19">
        <f>IF(A65&lt;2,0,IF(G65&lt;G64,1,0))</f>
        <v/>
      </c>
    </row>
    <row r="66">
      <c r="A66" s="14" t="n">
        <v>9</v>
      </c>
      <c r="B66" s="15">
        <f>A66*MES_HPB*WEEKS*(1+MES_DIM)^A66</f>
        <v/>
      </c>
      <c r="C66" s="15">
        <f>B66-B65</f>
        <v/>
      </c>
      <c r="D66" s="15">
        <f>MAX(0,MIN(C66,PERM_HOURS-B65))</f>
        <v/>
      </c>
      <c r="E66" s="15">
        <f>C66-D66</f>
        <v/>
      </c>
      <c r="F66" s="17">
        <f>MES_FERT</f>
        <v/>
      </c>
      <c r="G66" s="17">
        <f>D66*PERM_RATE+E66*TEMP_RATE+F66</f>
        <v/>
      </c>
      <c r="H66" s="17">
        <f>MES_PRICE</f>
        <v/>
      </c>
      <c r="I66" s="17">
        <f>H66-G66</f>
        <v/>
      </c>
      <c r="J66" s="18">
        <f>IF(COUNTIF($I$58:I66,"&lt;0")&gt;0,"Stop","Plant")</f>
        <v/>
      </c>
      <c r="K66" s="19">
        <f>IF(A66&lt;2,0,IF(G66&lt;G65,1,0))</f>
        <v/>
      </c>
    </row>
    <row r="67">
      <c r="A67" s="14" t="n">
        <v>10</v>
      </c>
      <c r="B67" s="15">
        <f>A67*MES_HPB*WEEKS*(1+MES_DIM)^A67</f>
        <v/>
      </c>
      <c r="C67" s="15">
        <f>B67-B66</f>
        <v/>
      </c>
      <c r="D67" s="15">
        <f>MAX(0,MIN(C67,PERM_HOURS-B66))</f>
        <v/>
      </c>
      <c r="E67" s="15">
        <f>C67-D67</f>
        <v/>
      </c>
      <c r="F67" s="17">
        <f>MES_FERT</f>
        <v/>
      </c>
      <c r="G67" s="17">
        <f>D67*PERM_RATE+E67*TEMP_RATE+F67</f>
        <v/>
      </c>
      <c r="H67" s="17">
        <f>MES_PRICE</f>
        <v/>
      </c>
      <c r="I67" s="17">
        <f>H67-G67</f>
        <v/>
      </c>
      <c r="J67" s="18">
        <f>IF(COUNTIF($I$58:I67,"&lt;0")&gt;0,"Stop","Plant")</f>
        <v/>
      </c>
      <c r="K67" s="19">
        <f>IF(A67&lt;2,0,IF(G67&lt;G66,1,0))</f>
        <v/>
      </c>
    </row>
    <row r="68">
      <c r="A68" s="14" t="n">
        <v>11</v>
      </c>
      <c r="B68" s="15">
        <f>A68*MES_HPB*WEEKS*(1+MES_DIM)^A68</f>
        <v/>
      </c>
      <c r="C68" s="15">
        <f>B68-B67</f>
        <v/>
      </c>
      <c r="D68" s="15">
        <f>MAX(0,MIN(C68,PERM_HOURS-B67))</f>
        <v/>
      </c>
      <c r="E68" s="15">
        <f>C68-D68</f>
        <v/>
      </c>
      <c r="F68" s="17">
        <f>MES_FERT</f>
        <v/>
      </c>
      <c r="G68" s="17">
        <f>D68*PERM_RATE+E68*TEMP_RATE+F68</f>
        <v/>
      </c>
      <c r="H68" s="17">
        <f>MES_PRICE</f>
        <v/>
      </c>
      <c r="I68" s="17">
        <f>H68-G68</f>
        <v/>
      </c>
      <c r="J68" s="18">
        <f>IF(COUNTIF($I$58:I68,"&lt;0")&gt;0,"Stop","Plant")</f>
        <v/>
      </c>
      <c r="K68" s="19">
        <f>IF(A68&lt;2,0,IF(G68&lt;G67,1,0))</f>
        <v/>
      </c>
    </row>
    <row r="69">
      <c r="A69" s="14" t="n">
        <v>12</v>
      </c>
      <c r="B69" s="15">
        <f>A69*MES_HPB*WEEKS*(1+MES_DIM)^A69</f>
        <v/>
      </c>
      <c r="C69" s="15">
        <f>B69-B68</f>
        <v/>
      </c>
      <c r="D69" s="15">
        <f>MAX(0,MIN(C69,PERM_HOURS-B68))</f>
        <v/>
      </c>
      <c r="E69" s="15">
        <f>C69-D69</f>
        <v/>
      </c>
      <c r="F69" s="17">
        <f>MES_FERT</f>
        <v/>
      </c>
      <c r="G69" s="17">
        <f>D69*PERM_RATE+E69*TEMP_RATE+F69</f>
        <v/>
      </c>
      <c r="H69" s="17">
        <f>MES_PRICE</f>
        <v/>
      </c>
      <c r="I69" s="17">
        <f>H69-G69</f>
        <v/>
      </c>
      <c r="J69" s="18">
        <f>IF(COUNTIF($I$58:I69,"&lt;0")&gt;0,"Stop","Plant")</f>
        <v/>
      </c>
      <c r="K69" s="19">
        <f>IF(A69&lt;2,0,IF(G69&lt;G68,1,0))</f>
        <v/>
      </c>
    </row>
    <row r="70">
      <c r="A70" s="14" t="n">
        <v>13</v>
      </c>
      <c r="B70" s="15">
        <f>A70*MES_HPB*WEEKS*(1+MES_DIM)^A70</f>
        <v/>
      </c>
      <c r="C70" s="15">
        <f>B70-B69</f>
        <v/>
      </c>
      <c r="D70" s="15">
        <f>MAX(0,MIN(C70,PERM_HOURS-B69))</f>
        <v/>
      </c>
      <c r="E70" s="15">
        <f>C70-D70</f>
        <v/>
      </c>
      <c r="F70" s="17">
        <f>MES_FERT</f>
        <v/>
      </c>
      <c r="G70" s="17">
        <f>D70*PERM_RATE+E70*TEMP_RATE+F70</f>
        <v/>
      </c>
      <c r="H70" s="17">
        <f>MES_PRICE</f>
        <v/>
      </c>
      <c r="I70" s="17">
        <f>H70-G70</f>
        <v/>
      </c>
      <c r="J70" s="18">
        <f>IF(COUNTIF($I$58:I70,"&lt;0")&gt;0,"Stop","Plant")</f>
        <v/>
      </c>
      <c r="K70" s="19">
        <f>IF(A70&lt;2,0,IF(G70&lt;G69,1,0))</f>
        <v/>
      </c>
    </row>
    <row r="71">
      <c r="A71" s="14" t="n">
        <v>14</v>
      </c>
      <c r="B71" s="15">
        <f>A71*MES_HPB*WEEKS*(1+MES_DIM)^A71</f>
        <v/>
      </c>
      <c r="C71" s="15">
        <f>B71-B70</f>
        <v/>
      </c>
      <c r="D71" s="15">
        <f>MAX(0,MIN(C71,PERM_HOURS-B70))</f>
        <v/>
      </c>
      <c r="E71" s="15">
        <f>C71-D71</f>
        <v/>
      </c>
      <c r="F71" s="17">
        <f>MES_FERT</f>
        <v/>
      </c>
      <c r="G71" s="17">
        <f>D71*PERM_RATE+E71*TEMP_RATE+F71</f>
        <v/>
      </c>
      <c r="H71" s="17">
        <f>MES_PRICE</f>
        <v/>
      </c>
      <c r="I71" s="17">
        <f>H71-G71</f>
        <v/>
      </c>
      <c r="J71" s="18">
        <f>IF(COUNTIF($I$58:I71,"&lt;0")&gt;0,"Stop","Plant")</f>
        <v/>
      </c>
      <c r="K71" s="19">
        <f>IF(A71&lt;2,0,IF(G71&lt;G70,1,0))</f>
        <v/>
      </c>
    </row>
    <row r="72">
      <c r="A72" s="14" t="n">
        <v>15</v>
      </c>
      <c r="B72" s="15">
        <f>A72*MES_HPB*WEEKS*(1+MES_DIM)^A72</f>
        <v/>
      </c>
      <c r="C72" s="15">
        <f>B72-B71</f>
        <v/>
      </c>
      <c r="D72" s="15">
        <f>MAX(0,MIN(C72,PERM_HOURS-B71))</f>
        <v/>
      </c>
      <c r="E72" s="15">
        <f>C72-D72</f>
        <v/>
      </c>
      <c r="F72" s="17">
        <f>MES_FERT</f>
        <v/>
      </c>
      <c r="G72" s="17">
        <f>D72*PERM_RATE+E72*TEMP_RATE+F72</f>
        <v/>
      </c>
      <c r="H72" s="17">
        <f>MES_PRICE</f>
        <v/>
      </c>
      <c r="I72" s="17">
        <f>H72-G72</f>
        <v/>
      </c>
      <c r="J72" s="18">
        <f>IF(COUNTIF($I$58:I72,"&lt;0")&gt;0,"Stop","Plant")</f>
        <v/>
      </c>
      <c r="K72" s="19">
        <f>IF(A72&lt;2,0,IF(G72&lt;G71,1,0))</f>
        <v/>
      </c>
    </row>
    <row r="73">
      <c r="A73" s="14" t="n">
        <v>16</v>
      </c>
      <c r="B73" s="15">
        <f>A73*MES_HPB*WEEKS*(1+MES_DIM)^A73</f>
        <v/>
      </c>
      <c r="C73" s="15">
        <f>B73-B72</f>
        <v/>
      </c>
      <c r="D73" s="15">
        <f>MAX(0,MIN(C73,PERM_HOURS-B72))</f>
        <v/>
      </c>
      <c r="E73" s="15">
        <f>C73-D73</f>
        <v/>
      </c>
      <c r="F73" s="17">
        <f>MES_FERT</f>
        <v/>
      </c>
      <c r="G73" s="17">
        <f>D73*PERM_RATE+E73*TEMP_RATE+F73</f>
        <v/>
      </c>
      <c r="H73" s="17">
        <f>MES_PRICE</f>
        <v/>
      </c>
      <c r="I73" s="17">
        <f>H73-G73</f>
        <v/>
      </c>
      <c r="J73" s="18">
        <f>IF(COUNTIF($I$58:I73,"&lt;0")&gt;0,"Stop","Plant")</f>
        <v/>
      </c>
      <c r="K73" s="19">
        <f>IF(A73&lt;2,0,IF(G73&lt;G72,1,0))</f>
        <v/>
      </c>
    </row>
    <row r="74">
      <c r="A74" s="14" t="n">
        <v>17</v>
      </c>
      <c r="B74" s="15">
        <f>A74*MES_HPB*WEEKS*(1+MES_DIM)^A74</f>
        <v/>
      </c>
      <c r="C74" s="15">
        <f>B74-B73</f>
        <v/>
      </c>
      <c r="D74" s="15">
        <f>MAX(0,MIN(C74,PERM_HOURS-B73))</f>
        <v/>
      </c>
      <c r="E74" s="15">
        <f>C74-D74</f>
        <v/>
      </c>
      <c r="F74" s="17">
        <f>MES_FERT</f>
        <v/>
      </c>
      <c r="G74" s="17">
        <f>D74*PERM_RATE+E74*TEMP_RATE+F74</f>
        <v/>
      </c>
      <c r="H74" s="17">
        <f>MES_PRICE</f>
        <v/>
      </c>
      <c r="I74" s="17">
        <f>H74-G74</f>
        <v/>
      </c>
      <c r="J74" s="18">
        <f>IF(COUNTIF($I$58:I74,"&lt;0")&gt;0,"Stop","Plant")</f>
        <v/>
      </c>
      <c r="K74" s="19">
        <f>IF(A74&lt;2,0,IF(G74&lt;G73,1,0))</f>
        <v/>
      </c>
    </row>
    <row r="75">
      <c r="A75" s="14" t="n">
        <v>18</v>
      </c>
      <c r="B75" s="15">
        <f>A75*MES_HPB*WEEKS*(1+MES_DIM)^A75</f>
        <v/>
      </c>
      <c r="C75" s="15">
        <f>B75-B74</f>
        <v/>
      </c>
      <c r="D75" s="15">
        <f>MAX(0,MIN(C75,PERM_HOURS-B74))</f>
        <v/>
      </c>
      <c r="E75" s="15">
        <f>C75-D75</f>
        <v/>
      </c>
      <c r="F75" s="17">
        <f>MES_FERT</f>
        <v/>
      </c>
      <c r="G75" s="17">
        <f>D75*PERM_RATE+E75*TEMP_RATE+F75</f>
        <v/>
      </c>
      <c r="H75" s="17">
        <f>MES_PRICE</f>
        <v/>
      </c>
      <c r="I75" s="17">
        <f>H75-G75</f>
        <v/>
      </c>
      <c r="J75" s="18">
        <f>IF(COUNTIF($I$58:I75,"&lt;0")&gt;0,"Stop","Plant")</f>
        <v/>
      </c>
      <c r="K75" s="19">
        <f>IF(A75&lt;2,0,IF(G75&lt;G74,1,0))</f>
        <v/>
      </c>
    </row>
    <row r="76">
      <c r="A76" s="14" t="n">
        <v>19</v>
      </c>
      <c r="B76" s="15">
        <f>A76*MES_HPB*WEEKS*(1+MES_DIM)^A76</f>
        <v/>
      </c>
      <c r="C76" s="15">
        <f>B76-B75</f>
        <v/>
      </c>
      <c r="D76" s="15">
        <f>MAX(0,MIN(C76,PERM_HOURS-B75))</f>
        <v/>
      </c>
      <c r="E76" s="15">
        <f>C76-D76</f>
        <v/>
      </c>
      <c r="F76" s="17">
        <f>MES_FERT</f>
        <v/>
      </c>
      <c r="G76" s="17">
        <f>D76*PERM_RATE+E76*TEMP_RATE+F76</f>
        <v/>
      </c>
      <c r="H76" s="17">
        <f>MES_PRICE</f>
        <v/>
      </c>
      <c r="I76" s="17">
        <f>H76-G76</f>
        <v/>
      </c>
      <c r="J76" s="18">
        <f>IF(COUNTIF($I$58:I76,"&lt;0")&gt;0,"Stop","Plant")</f>
        <v/>
      </c>
      <c r="K76" s="19">
        <f>IF(A76&lt;2,0,IF(G76&lt;G75,1,0))</f>
        <v/>
      </c>
    </row>
    <row r="77">
      <c r="A77" s="14" t="n">
        <v>20</v>
      </c>
      <c r="B77" s="15">
        <f>A77*MES_HPB*WEEKS*(1+MES_DIM)^A77</f>
        <v/>
      </c>
      <c r="C77" s="15">
        <f>B77-B76</f>
        <v/>
      </c>
      <c r="D77" s="15">
        <f>MAX(0,MIN(C77,PERM_HOURS-B76))</f>
        <v/>
      </c>
      <c r="E77" s="15">
        <f>C77-D77</f>
        <v/>
      </c>
      <c r="F77" s="17">
        <f>MES_FERT</f>
        <v/>
      </c>
      <c r="G77" s="17">
        <f>D77*PERM_RATE+E77*TEMP_RATE+F77</f>
        <v/>
      </c>
      <c r="H77" s="17">
        <f>MES_PRICE</f>
        <v/>
      </c>
      <c r="I77" s="17">
        <f>H77-G77</f>
        <v/>
      </c>
      <c r="J77" s="18">
        <f>IF(COUNTIF($I$58:I77,"&lt;0")&gt;0,"Stop","Plant")</f>
        <v/>
      </c>
      <c r="K77" s="19">
        <f>IF(A77&lt;2,0,IF(G77&lt;G76,1,0))</f>
        <v/>
      </c>
    </row>
    <row r="78">
      <c r="A78" s="14" t="n">
        <v>21</v>
      </c>
      <c r="B78" s="15">
        <f>A78*MES_HPB*WEEKS*(1+MES_DIM)^A78</f>
        <v/>
      </c>
      <c r="C78" s="15">
        <f>B78-B77</f>
        <v/>
      </c>
      <c r="D78" s="15">
        <f>MAX(0,MIN(C78,PERM_HOURS-B77))</f>
        <v/>
      </c>
      <c r="E78" s="15">
        <f>C78-D78</f>
        <v/>
      </c>
      <c r="F78" s="17">
        <f>MES_FERT</f>
        <v/>
      </c>
      <c r="G78" s="17">
        <f>D78*PERM_RATE+E78*TEMP_RATE+F78</f>
        <v/>
      </c>
      <c r="H78" s="17">
        <f>MES_PRICE</f>
        <v/>
      </c>
      <c r="I78" s="17">
        <f>H78-G78</f>
        <v/>
      </c>
      <c r="J78" s="18">
        <f>IF(COUNTIF($I$58:I78,"&lt;0")&gt;0,"Stop","Plant")</f>
        <v/>
      </c>
      <c r="K78" s="19">
        <f>IF(A78&lt;2,0,IF(G78&lt;G77,1,0))</f>
        <v/>
      </c>
    </row>
    <row r="79">
      <c r="A79" s="14" t="n">
        <v>22</v>
      </c>
      <c r="B79" s="15">
        <f>A79*MES_HPB*WEEKS*(1+MES_DIM)^A79</f>
        <v/>
      </c>
      <c r="C79" s="15">
        <f>B79-B78</f>
        <v/>
      </c>
      <c r="D79" s="15">
        <f>MAX(0,MIN(C79,PERM_HOURS-B78))</f>
        <v/>
      </c>
      <c r="E79" s="15">
        <f>C79-D79</f>
        <v/>
      </c>
      <c r="F79" s="17">
        <f>MES_FERT</f>
        <v/>
      </c>
      <c r="G79" s="17">
        <f>D79*PERM_RATE+E79*TEMP_RATE+F79</f>
        <v/>
      </c>
      <c r="H79" s="17">
        <f>MES_PRICE</f>
        <v/>
      </c>
      <c r="I79" s="17">
        <f>H79-G79</f>
        <v/>
      </c>
      <c r="J79" s="18">
        <f>IF(COUNTIF($I$58:I79,"&lt;0")&gt;0,"Stop","Plant")</f>
        <v/>
      </c>
      <c r="K79" s="19">
        <f>IF(A79&lt;2,0,IF(G79&lt;G78,1,0))</f>
        <v/>
      </c>
    </row>
    <row r="80">
      <c r="A80" s="14" t="n">
        <v>23</v>
      </c>
      <c r="B80" s="15">
        <f>A80*MES_HPB*WEEKS*(1+MES_DIM)^A80</f>
        <v/>
      </c>
      <c r="C80" s="15">
        <f>B80-B79</f>
        <v/>
      </c>
      <c r="D80" s="15">
        <f>MAX(0,MIN(C80,PERM_HOURS-B79))</f>
        <v/>
      </c>
      <c r="E80" s="15">
        <f>C80-D80</f>
        <v/>
      </c>
      <c r="F80" s="17">
        <f>MES_FERT</f>
        <v/>
      </c>
      <c r="G80" s="17">
        <f>D80*PERM_RATE+E80*TEMP_RATE+F80</f>
        <v/>
      </c>
      <c r="H80" s="17">
        <f>MES_PRICE</f>
        <v/>
      </c>
      <c r="I80" s="17">
        <f>H80-G80</f>
        <v/>
      </c>
      <c r="J80" s="18">
        <f>IF(COUNTIF($I$58:I80,"&lt;0")&gt;0,"Stop","Plant")</f>
        <v/>
      </c>
      <c r="K80" s="19">
        <f>IF(A80&lt;2,0,IF(G80&lt;G79,1,0))</f>
        <v/>
      </c>
    </row>
    <row r="81">
      <c r="A81" s="14" t="n">
        <v>24</v>
      </c>
      <c r="B81" s="15">
        <f>A81*MES_HPB*WEEKS*(1+MES_DIM)^A81</f>
        <v/>
      </c>
      <c r="C81" s="15">
        <f>B81-B80</f>
        <v/>
      </c>
      <c r="D81" s="15">
        <f>MAX(0,MIN(C81,PERM_HOURS-B80))</f>
        <v/>
      </c>
      <c r="E81" s="15">
        <f>C81-D81</f>
        <v/>
      </c>
      <c r="F81" s="17">
        <f>MES_FERT</f>
        <v/>
      </c>
      <c r="G81" s="17">
        <f>D81*PERM_RATE+E81*TEMP_RATE+F81</f>
        <v/>
      </c>
      <c r="H81" s="17">
        <f>MES_PRICE</f>
        <v/>
      </c>
      <c r="I81" s="17">
        <f>H81-G81</f>
        <v/>
      </c>
      <c r="J81" s="18">
        <f>IF(COUNTIF($I$58:I81,"&lt;0")&gt;0,"Stop","Plant")</f>
        <v/>
      </c>
      <c r="K81" s="19">
        <f>IF(A81&lt;2,0,IF(G81&lt;G80,1,0))</f>
        <v/>
      </c>
    </row>
    <row r="82">
      <c r="A82" s="14" t="n">
        <v>25</v>
      </c>
      <c r="B82" s="15">
        <f>A82*MES_HPB*WEEKS*(1+MES_DIM)^A82</f>
        <v/>
      </c>
      <c r="C82" s="15">
        <f>B82-B81</f>
        <v/>
      </c>
      <c r="D82" s="15">
        <f>MAX(0,MIN(C82,PERM_HOURS-B81))</f>
        <v/>
      </c>
      <c r="E82" s="15">
        <f>C82-D82</f>
        <v/>
      </c>
      <c r="F82" s="17">
        <f>MES_FERT</f>
        <v/>
      </c>
      <c r="G82" s="17">
        <f>D82*PERM_RATE+E82*TEMP_RATE+F82</f>
        <v/>
      </c>
      <c r="H82" s="17">
        <f>MES_PRICE</f>
        <v/>
      </c>
      <c r="I82" s="17">
        <f>H82-G82</f>
        <v/>
      </c>
      <c r="J82" s="18">
        <f>IF(COUNTIF($I$58:I82,"&lt;0")&gt;0,"Stop","Plant")</f>
        <v/>
      </c>
      <c r="K82" s="19">
        <f>IF(A82&lt;2,0,IF(G82&lt;G81,1,0))</f>
        <v/>
      </c>
    </row>
    <row r="83">
      <c r="A83" s="14" t="n">
        <v>26</v>
      </c>
      <c r="B83" s="15">
        <f>A83*MES_HPB*WEEKS*(1+MES_DIM)^A83</f>
        <v/>
      </c>
      <c r="C83" s="15">
        <f>B83-B82</f>
        <v/>
      </c>
      <c r="D83" s="15">
        <f>MAX(0,MIN(C83,PERM_HOURS-B82))</f>
        <v/>
      </c>
      <c r="E83" s="15">
        <f>C83-D83</f>
        <v/>
      </c>
      <c r="F83" s="17">
        <f>MES_FERT</f>
        <v/>
      </c>
      <c r="G83" s="17">
        <f>D83*PERM_RATE+E83*TEMP_RATE+F83</f>
        <v/>
      </c>
      <c r="H83" s="17">
        <f>MES_PRICE</f>
        <v/>
      </c>
      <c r="I83" s="17">
        <f>H83-G83</f>
        <v/>
      </c>
      <c r="J83" s="18">
        <f>IF(COUNTIF($I$58:I83,"&lt;0")&gt;0,"Stop","Plant")</f>
        <v/>
      </c>
      <c r="K83" s="19">
        <f>IF(A83&lt;2,0,IF(G83&lt;G82,1,0))</f>
        <v/>
      </c>
    </row>
    <row r="84">
      <c r="A84" s="14" t="n">
        <v>27</v>
      </c>
      <c r="B84" s="15">
        <f>A84*MES_HPB*WEEKS*(1+MES_DIM)^A84</f>
        <v/>
      </c>
      <c r="C84" s="15">
        <f>B84-B83</f>
        <v/>
      </c>
      <c r="D84" s="15">
        <f>MAX(0,MIN(C84,PERM_HOURS-B83))</f>
        <v/>
      </c>
      <c r="E84" s="15">
        <f>C84-D84</f>
        <v/>
      </c>
      <c r="F84" s="17">
        <f>MES_FERT</f>
        <v/>
      </c>
      <c r="G84" s="17">
        <f>D84*PERM_RATE+E84*TEMP_RATE+F84</f>
        <v/>
      </c>
      <c r="H84" s="17">
        <f>MES_PRICE</f>
        <v/>
      </c>
      <c r="I84" s="17">
        <f>H84-G84</f>
        <v/>
      </c>
      <c r="J84" s="18">
        <f>IF(COUNTIF($I$58:I84,"&lt;0")&gt;0,"Stop","Plant")</f>
        <v/>
      </c>
      <c r="K84" s="19">
        <f>IF(A84&lt;2,0,IF(G84&lt;G83,1,0))</f>
        <v/>
      </c>
    </row>
    <row r="85">
      <c r="A85" s="14" t="n">
        <v>28</v>
      </c>
      <c r="B85" s="15">
        <f>A85*MES_HPB*WEEKS*(1+MES_DIM)^A85</f>
        <v/>
      </c>
      <c r="C85" s="15">
        <f>B85-B84</f>
        <v/>
      </c>
      <c r="D85" s="15">
        <f>MAX(0,MIN(C85,PERM_HOURS-B84))</f>
        <v/>
      </c>
      <c r="E85" s="15">
        <f>C85-D85</f>
        <v/>
      </c>
      <c r="F85" s="17">
        <f>MES_FERT</f>
        <v/>
      </c>
      <c r="G85" s="17">
        <f>D85*PERM_RATE+E85*TEMP_RATE+F85</f>
        <v/>
      </c>
      <c r="H85" s="17">
        <f>MES_PRICE</f>
        <v/>
      </c>
      <c r="I85" s="17">
        <f>H85-G85</f>
        <v/>
      </c>
      <c r="J85" s="18">
        <f>IF(COUNTIF($I$58:I85,"&lt;0")&gt;0,"Stop","Plant")</f>
        <v/>
      </c>
      <c r="K85" s="19">
        <f>IF(A85&lt;2,0,IF(G85&lt;G84,1,0))</f>
        <v/>
      </c>
    </row>
    <row r="86">
      <c r="A86" s="14" t="n">
        <v>29</v>
      </c>
      <c r="B86" s="15">
        <f>A86*MES_HPB*WEEKS*(1+MES_DIM)^A86</f>
        <v/>
      </c>
      <c r="C86" s="15">
        <f>B86-B85</f>
        <v/>
      </c>
      <c r="D86" s="15">
        <f>MAX(0,MIN(C86,PERM_HOURS-B85))</f>
        <v/>
      </c>
      <c r="E86" s="15">
        <f>C86-D86</f>
        <v/>
      </c>
      <c r="F86" s="17">
        <f>MES_FERT</f>
        <v/>
      </c>
      <c r="G86" s="17">
        <f>D86*PERM_RATE+E86*TEMP_RATE+F86</f>
        <v/>
      </c>
      <c r="H86" s="17">
        <f>MES_PRICE</f>
        <v/>
      </c>
      <c r="I86" s="17">
        <f>H86-G86</f>
        <v/>
      </c>
      <c r="J86" s="18">
        <f>IF(COUNTIF($I$58:I86,"&lt;0")&gt;0,"Stop","Plant")</f>
        <v/>
      </c>
      <c r="K86" s="19">
        <f>IF(A86&lt;2,0,IF(G86&lt;G85,1,0))</f>
        <v/>
      </c>
    </row>
    <row r="87">
      <c r="A87" s="14" t="n">
        <v>30</v>
      </c>
      <c r="B87" s="15">
        <f>A87*MES_HPB*WEEKS*(1+MES_DIM)^A87</f>
        <v/>
      </c>
      <c r="C87" s="15">
        <f>B87-B86</f>
        <v/>
      </c>
      <c r="D87" s="15">
        <f>MAX(0,MIN(C87,PERM_HOURS-B86))</f>
        <v/>
      </c>
      <c r="E87" s="15">
        <f>C87-D87</f>
        <v/>
      </c>
      <c r="F87" s="17">
        <f>MES_FERT</f>
        <v/>
      </c>
      <c r="G87" s="17">
        <f>D87*PERM_RATE+E87*TEMP_RATE+F87</f>
        <v/>
      </c>
      <c r="H87" s="17">
        <f>MES_PRICE</f>
        <v/>
      </c>
      <c r="I87" s="17">
        <f>H87-G87</f>
        <v/>
      </c>
      <c r="J87" s="18">
        <f>IF(COUNTIF($I$58:I87,"&lt;0")&gt;0,"Stop","Plant")</f>
        <v/>
      </c>
      <c r="K87" s="19">
        <f>IF(A87&lt;2,0,IF(G87&lt;G86,1,0))</f>
        <v/>
      </c>
    </row>
    <row r="90">
      <c r="A90" s="3" t="inlineStr">
        <is>
          <t>Standalone crossing points and the tomato dip</t>
        </is>
      </c>
    </row>
    <row r="91">
      <c r="A91" s="4" t="inlineStr">
        <is>
          <t>Output</t>
        </is>
      </c>
      <c r="B91" s="4" t="inlineStr">
        <is>
          <t>Value</t>
        </is>
      </c>
      <c r="C91" s="4" t="inlineStr">
        <is>
          <t>Unit</t>
        </is>
      </c>
      <c r="D91" s="4" t="inlineStr">
        <is>
          <t>Definition</t>
        </is>
      </c>
    </row>
    <row r="92">
      <c r="A92" s="5" t="inlineStr">
        <is>
          <t>OUT_CROSSING_TOM</t>
        </is>
      </c>
      <c r="B92" s="20">
        <f>COUNTIF($J$8:$J$27,"Plant")</f>
        <v/>
      </c>
      <c r="C92" t="inlineStr">
        <is>
          <t>beds</t>
        </is>
      </c>
      <c r="D92" s="2" t="inlineStr">
        <is>
          <t>Beds planted before the first bed whose MC exceeds price (V7)</t>
        </is>
      </c>
    </row>
    <row r="93">
      <c r="A93" s="5" t="inlineStr">
        <is>
          <t>OUT_CROSSING_CAR</t>
        </is>
      </c>
      <c r="B93" s="20">
        <f>COUNTIF($J$33:$J$52,"Plant")</f>
        <v/>
      </c>
      <c r="C93" t="inlineStr">
        <is>
          <t>beds</t>
        </is>
      </c>
      <c r="D93" s="2" t="inlineStr">
        <is>
          <t>Beds planted before the first bed whose MC exceeds price (V7)</t>
        </is>
      </c>
    </row>
    <row r="94">
      <c r="A94" s="5" t="inlineStr">
        <is>
          <t>OUT_CROSSING_MES</t>
        </is>
      </c>
      <c r="B94" s="20">
        <f>COUNTIF($J$58:$J$87,"Plant")</f>
        <v/>
      </c>
      <c r="C94" t="inlineStr">
        <is>
          <t>beds</t>
        </is>
      </c>
      <c r="D94" s="2" t="inlineStr">
        <is>
          <t>Beds planted before the first bed whose MC exceeds price (V7)</t>
        </is>
      </c>
    </row>
    <row r="95">
      <c r="A95" s="5" t="inlineStr">
        <is>
          <t>OUT_TOM_DIP_BED</t>
        </is>
      </c>
      <c r="B95" s="20">
        <f>INDEX($A$8:$A$27,MATCH(1,$K$8:$K$27,0))</f>
        <v/>
      </c>
      <c r="C95" t="inlineStr">
        <is>
          <t>bed</t>
        </is>
      </c>
      <c r="D95" s="2" t="inlineStr">
        <is>
          <t>First tomato bed whose marginal cost falls below the bed before it. Reported, not explained.</t>
        </is>
      </c>
    </row>
    <row r="96">
      <c r="A96" s="5" t="inlineStr">
        <is>
          <t>OUT_TOM_DIP_SIZE</t>
        </is>
      </c>
      <c r="B96" s="21">
        <f>INDEX($G$8:$G$27,MATCH(1,$K$8:$K$27,0)-1)-INDEX($G$8:$G$27,MATCH(1,$K$8:$K$27,0))</f>
        <v/>
      </c>
      <c r="C96" t="inlineStr">
        <is>
          <t>$</t>
        </is>
      </c>
      <c r="D96" s="2" t="inlineStr">
        <is>
          <t>Size of that fall, in dollars.</t>
        </is>
      </c>
    </row>
  </sheetData>
  <conditionalFormatting sqref="J8:J27">
    <cfRule type="cellIs" priority="1" operator="equal" dxfId="0">
      <formula>"Plant"</formula>
    </cfRule>
    <cfRule type="cellIs" priority="2" operator="equal" dxfId="1">
      <formula>"Stop"</formula>
    </cfRule>
  </conditionalFormatting>
  <conditionalFormatting sqref="J33:J52">
    <cfRule type="cellIs" priority="3" operator="equal" dxfId="0">
      <formula>"Plant"</formula>
    </cfRule>
    <cfRule type="cellIs" priority="4" operator="equal" dxfId="1">
      <formula>"Stop"</formula>
    </cfRule>
  </conditionalFormatting>
  <conditionalFormatting sqref="J58:J87">
    <cfRule type="cellIs" priority="5" operator="equal" dxfId="0">
      <formula>"Plant"</formula>
    </cfRule>
    <cfRule type="cellIs" priority="6" operator="equal" dxfId="1">
      <formula>"Stop"</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8"/>
  <sheetViews>
    <sheetView workbookViewId="0">
      <selection activeCell="A1" sqref="A1"/>
    </sheetView>
  </sheetViews>
  <sheetFormatPr baseColWidth="8" defaultRowHeight="15"/>
  <cols>
    <col width="30" customWidth="1" min="1" max="1"/>
    <col width="20" customWidth="1" min="2" max="2"/>
    <col width="14" customWidth="1" min="3" max="3"/>
    <col width="78" customWidth="1" min="4" max="4"/>
    <col width="20" customWidth="1" min="5" max="5"/>
    <col width="22" customWidth="1" min="6" max="6"/>
    <col width="20" customWidth="1" min="7" max="7"/>
  </cols>
  <sheetData>
    <row r="1">
      <c r="A1" s="1" t="inlineStr">
        <is>
          <t>Optimization — season profit at the current bed counts</t>
        </is>
      </c>
    </row>
    <row r="2">
      <c r="A2" s="2" t="inlineStr">
        <is>
          <t>Everything here is driven by TOM_BEDS / CAR_BEDS / MES_BEDS on the Inputs sheet. Season profit in OUT_SEASON_PROFIT is the Solver objective.</t>
        </is>
      </c>
    </row>
    <row r="3"/>
    <row r="4">
      <c r="A4" s="3" t="inlineStr">
        <is>
          <t>The decision</t>
        </is>
      </c>
    </row>
    <row r="5">
      <c r="A5" s="4" t="inlineStr">
        <is>
          <t>Output</t>
        </is>
      </c>
      <c r="B5" s="4" t="inlineStr">
        <is>
          <t>Value</t>
        </is>
      </c>
      <c r="C5" s="4" t="inlineStr">
        <is>
          <t>Unit</t>
        </is>
      </c>
      <c r="D5" s="4" t="inlineStr">
        <is>
          <t>What it reports</t>
        </is>
      </c>
    </row>
    <row r="6">
      <c r="A6" s="5" t="inlineStr">
        <is>
          <t>OUT_TOM_BEDS</t>
        </is>
      </c>
      <c r="B6" s="20">
        <f>TOM_BEDS</f>
        <v/>
      </c>
      <c r="C6" t="inlineStr">
        <is>
          <t>beds</t>
        </is>
      </c>
      <c r="D6" s="2" t="inlineStr">
        <is>
          <t>Optimal tomato beds</t>
        </is>
      </c>
    </row>
    <row r="7">
      <c r="A7" s="5" t="inlineStr">
        <is>
          <t>OUT_CAR_BEDS</t>
        </is>
      </c>
      <c r="B7" s="20">
        <f>CAR_BEDS</f>
        <v/>
      </c>
      <c r="C7" t="inlineStr">
        <is>
          <t>beds</t>
        </is>
      </c>
      <c r="D7" s="2" t="inlineStr">
        <is>
          <t>Optimal carrot beds</t>
        </is>
      </c>
    </row>
    <row r="8">
      <c r="A8" s="5" t="inlineStr">
        <is>
          <t>OUT_MES_BEDS</t>
        </is>
      </c>
      <c r="B8" s="20">
        <f>MES_BEDS</f>
        <v/>
      </c>
      <c r="C8" t="inlineStr">
        <is>
          <t>beds</t>
        </is>
      </c>
      <c r="D8" s="2" t="inlineStr">
        <is>
          <t>Optimal mesclun beds</t>
        </is>
      </c>
    </row>
    <row r="9">
      <c r="A9" s="5" t="inlineStr">
        <is>
          <t>OUT_BEDS_USED</t>
        </is>
      </c>
      <c r="B9" s="20">
        <f>OUT_TOM_BEDS+OUT_CAR_BEDS+OUT_MES_BEDS</f>
        <v/>
      </c>
      <c r="C9" t="inlineStr">
        <is>
          <t>beds</t>
        </is>
      </c>
      <c r="D9" s="2" t="inlineStr">
        <is>
          <t>Total beds planted</t>
        </is>
      </c>
    </row>
    <row r="10">
      <c r="A10" s="5" t="inlineStr">
        <is>
          <t>OUT_BEDS_IDLE</t>
        </is>
      </c>
      <c r="B10" s="20">
        <f>FARM_BED_CAP-OUT_BEDS_USED</f>
        <v/>
      </c>
      <c r="C10" t="inlineStr">
        <is>
          <t>beds</t>
        </is>
      </c>
      <c r="D10" s="2" t="inlineStr">
        <is>
          <t>FARM_BED_CAP less beds planted</t>
        </is>
      </c>
    </row>
    <row r="11"/>
    <row r="12">
      <c r="A12" s="3" t="inlineStr">
        <is>
          <t>Labor</t>
        </is>
      </c>
    </row>
    <row r="13">
      <c r="A13" s="4" t="inlineStr">
        <is>
          <t>Output</t>
        </is>
      </c>
      <c r="B13" s="4" t="inlineStr">
        <is>
          <t>Value</t>
        </is>
      </c>
      <c r="C13" s="4" t="inlineStr">
        <is>
          <t>Unit</t>
        </is>
      </c>
      <c r="D13" s="4" t="inlineStr">
        <is>
          <t>What it reports</t>
        </is>
      </c>
    </row>
    <row r="14">
      <c r="A14" t="inlineStr">
        <is>
          <t>Tomato field hours</t>
        </is>
      </c>
      <c r="B14" s="15">
        <f>TOM_BEDS*TOM_HPB*WEEKS*(1+TOM_DIM)^TOM_BEDS</f>
        <v/>
      </c>
      <c r="C14" t="inlineStr">
        <is>
          <t>hours</t>
        </is>
      </c>
      <c r="D14" s="2" t="inlineStr">
        <is>
          <t>LABOR_HRS(q) = q x HRS_PER_WEEK_PER_BED x WEEKS x (1 + DIM_PCT)^q</t>
        </is>
      </c>
    </row>
    <row r="15">
      <c r="A15" t="inlineStr">
        <is>
          <t>Carrot field hours</t>
        </is>
      </c>
      <c r="B15" s="15">
        <f>CAR_BEDS*CAR_HPB*WEEKS*(1+CAR_DIM)^CAR_BEDS</f>
        <v/>
      </c>
      <c r="C15" t="inlineStr">
        <is>
          <t>hours</t>
        </is>
      </c>
      <c r="D15" s="2" t="inlineStr">
        <is>
          <t>LABOR_HRS(q) = q x HRS_PER_WEEK_PER_BED x WEEKS x (1 + DIM_PCT)^q</t>
        </is>
      </c>
    </row>
    <row r="16">
      <c r="A16" t="inlineStr">
        <is>
          <t>Mesclun field hours</t>
        </is>
      </c>
      <c r="B16" s="15">
        <f>MES_BEDS*MES_HPB*WEEKS*(1+MES_DIM)^MES_BEDS</f>
        <v/>
      </c>
      <c r="C16" t="inlineStr">
        <is>
          <t>hours</t>
        </is>
      </c>
      <c r="D16" s="2" t="inlineStr">
        <is>
          <t>LABOR_HRS(q) = q x HRS_PER_WEEK_PER_BED x WEEKS x (1 + DIM_PCT)^q</t>
        </is>
      </c>
    </row>
    <row r="17">
      <c r="A17" s="5" t="inlineStr">
        <is>
          <t>OUT_TOTAL_HOURS</t>
        </is>
      </c>
      <c r="B17" s="22">
        <f>B14+B15+B16</f>
        <v/>
      </c>
      <c r="C17" t="inlineStr">
        <is>
          <t>hours</t>
        </is>
      </c>
      <c r="D17" s="2" t="inlineStr">
        <is>
          <t>Total field hours required (TOTAL_LABOR / TOTAL_LABOR_HOURS)</t>
        </is>
      </c>
    </row>
    <row r="18">
      <c r="A18" s="5" t="inlineStr">
        <is>
          <t>OUT_PERM_HOURS</t>
        </is>
      </c>
      <c r="B18" s="22">
        <f>MIN(OUT_TOTAL_HOURS,PERM_HOURS)</f>
        <v/>
      </c>
      <c r="C18" t="inlineStr">
        <is>
          <t>hours</t>
        </is>
      </c>
      <c r="D18" s="2" t="inlineStr">
        <is>
          <t>Hours worked by the farmer — her hours are used first</t>
        </is>
      </c>
    </row>
    <row r="19">
      <c r="A19" s="5" t="inlineStr">
        <is>
          <t>OUT_TEMP_HOURS</t>
        </is>
      </c>
      <c r="B19" s="22">
        <f>MAX(0,OUT_TOTAL_HOURS-PERM_HOURS)</f>
        <v/>
      </c>
      <c r="C19" t="inlineStr">
        <is>
          <t>hours</t>
        </is>
      </c>
      <c r="D19" s="2" t="inlineStr">
        <is>
          <t>Hours worked by temporary labor</t>
        </is>
      </c>
    </row>
    <row r="20">
      <c r="A20" s="5" t="inlineStr">
        <is>
          <t>OUT_TEMP_WORKERS</t>
        </is>
      </c>
      <c r="B20" s="20">
        <f>ROUNDUP(OUT_TEMP_HOURS/TEMP_WORKER_HRS,0)</f>
        <v/>
      </c>
      <c r="C20" t="inlineStr">
        <is>
          <t>workers</t>
        </is>
      </c>
      <c r="D20" s="2" t="inlineStr">
        <is>
          <t>Temps are hired by the season: a worker needed for one hour is a worker hired</t>
        </is>
      </c>
    </row>
    <row r="21">
      <c r="A21" t="inlineStr">
        <is>
          <t>Permanent labor cost</t>
        </is>
      </c>
      <c r="B21" s="17">
        <f>OUT_PERM_HOURS*PERM_RATE</f>
        <v/>
      </c>
      <c r="C21" t="inlineStr">
        <is>
          <t>$</t>
        </is>
      </c>
      <c r="D21" s="2" t="inlineStr">
        <is>
          <t>Only the field half of FARMER_SALARY is charged (spec Convention 2)</t>
        </is>
      </c>
    </row>
    <row r="22">
      <c r="A22" t="inlineStr">
        <is>
          <t>Temporary labor cost</t>
        </is>
      </c>
      <c r="B22" s="17">
        <f>OUT_TEMP_HOURS*TEMP_RATE</f>
        <v/>
      </c>
      <c r="C22" t="inlineStr">
        <is>
          <t>$</t>
        </is>
      </c>
      <c r="D22" s="2" t="inlineStr">
        <is>
          <t>Charged per hour worked, not per whole seasonal contract (spec Convention 3)</t>
        </is>
      </c>
    </row>
    <row r="23">
      <c r="A23" s="5" t="inlineStr">
        <is>
          <t>OUT_BLENDED_RATE</t>
        </is>
      </c>
      <c r="B23" s="13">
        <f>IF(OUT_TOTAL_HOURS=0,0,OUT_LABOR_COST/OUT_TOTAL_HOURS)</f>
        <v/>
      </c>
      <c r="C23" t="inlineStr">
        <is>
          <t>$ per hour</t>
        </is>
      </c>
      <c r="D23" s="2" t="inlineStr">
        <is>
          <t>Total labor dollars / total labor hours. Used only for the per-crop P&amp;L (spec §3H).</t>
        </is>
      </c>
    </row>
    <row r="24"/>
    <row r="25">
      <c r="A25" s="3" t="inlineStr">
        <is>
          <t>Money</t>
        </is>
      </c>
    </row>
    <row r="26">
      <c r="A26" s="4" t="inlineStr">
        <is>
          <t>Output</t>
        </is>
      </c>
      <c r="B26" s="4" t="inlineStr">
        <is>
          <t>Value</t>
        </is>
      </c>
      <c r="C26" s="4" t="inlineStr">
        <is>
          <t>Unit</t>
        </is>
      </c>
      <c r="D26" s="4" t="inlineStr">
        <is>
          <t>What it reports</t>
        </is>
      </c>
    </row>
    <row r="27">
      <c r="A27" s="5" t="inlineStr">
        <is>
          <t>OUT_REVENUE</t>
        </is>
      </c>
      <c r="B27" s="21">
        <f>SUM(OUT_CROP_REVENUE)</f>
        <v/>
      </c>
      <c r="C27" t="inlineStr">
        <is>
          <t>$</t>
        </is>
      </c>
      <c r="D27" s="2" t="inlineStr">
        <is>
          <t>Total season revenue</t>
        </is>
      </c>
    </row>
    <row r="28">
      <c r="A28" s="5" t="inlineStr">
        <is>
          <t>OUT_LABOR_COST</t>
        </is>
      </c>
      <c r="B28" s="21">
        <f>B21+B22</f>
        <v/>
      </c>
      <c r="C28" t="inlineStr">
        <is>
          <t>$</t>
        </is>
      </c>
      <c r="D28" s="2" t="inlineStr">
        <is>
          <t>Permanent plus temporary labor</t>
        </is>
      </c>
    </row>
    <row r="29">
      <c r="A29" s="5" t="inlineStr">
        <is>
          <t>OUT_FERT_COST</t>
        </is>
      </c>
      <c r="B29" s="21">
        <f>SUM(OUT_CROP_FERT_COST)</f>
        <v/>
      </c>
      <c r="C29" t="inlineStr">
        <is>
          <t>$</t>
        </is>
      </c>
      <c r="D29" s="2" t="inlineStr">
        <is>
          <t>Fertilizer, all crops</t>
        </is>
      </c>
    </row>
    <row r="30">
      <c r="A30" s="5" t="inlineStr">
        <is>
          <t>OUT_FIXED_COST</t>
        </is>
      </c>
      <c r="B30" s="21">
        <f>FIXED_COST</f>
        <v/>
      </c>
      <c r="C30" t="inlineStr">
        <is>
          <t>$</t>
        </is>
      </c>
      <c r="D30" s="2" t="inlineStr">
        <is>
          <t>Fixed cost — not allocated to crops, not in MC(q)</t>
        </is>
      </c>
    </row>
    <row r="31">
      <c r="A31" s="5" t="inlineStr">
        <is>
          <t>OUT_TOTAL_COST</t>
        </is>
      </c>
      <c r="B31" s="21">
        <f>OUT_LABOR_COST+OUT_FERT_COST+OUT_FIXED_COST</f>
        <v/>
      </c>
      <c r="C31" t="inlineStr">
        <is>
          <t>$</t>
        </is>
      </c>
      <c r="D31" s="2" t="inlineStr">
        <is>
          <t>All three added</t>
        </is>
      </c>
    </row>
    <row r="32">
      <c r="A32" s="5" t="inlineStr">
        <is>
          <t>OUT_SEASON_PROFIT</t>
        </is>
      </c>
      <c r="B32" s="23">
        <f>OUT_REVENUE-OUT_TOTAL_COST</f>
        <v/>
      </c>
      <c r="C32" t="inlineStr">
        <is>
          <t>$</t>
        </is>
      </c>
      <c r="D32" s="2" t="inlineStr">
        <is>
          <t>Revenue less total cost — the Solver objective</t>
        </is>
      </c>
    </row>
    <row r="33"/>
    <row r="34">
      <c r="A34" s="3" t="inlineStr">
        <is>
          <t>Per-crop P&amp;L — labor allocated at OUT_BLENDED_RATE (spec §3H)</t>
        </is>
      </c>
    </row>
    <row r="35">
      <c r="A35" s="2" t="inlineStr">
        <is>
          <t>No crop hires the temporary workers; the season does. Because the blended rate is total labor dollars divided by total labor hours, the three crop labor costs add back to OUT_LABOR_COST exactly.</t>
        </is>
      </c>
    </row>
    <row r="36">
      <c r="A36" s="4" t="inlineStr">
        <is>
          <t>Crop</t>
        </is>
      </c>
      <c r="B36" s="4" t="inlineStr">
        <is>
          <t>Beds</t>
        </is>
      </c>
      <c r="C36" s="4" t="inlineStr">
        <is>
          <t>Field hours</t>
        </is>
      </c>
      <c r="D36" s="4" t="inlineStr">
        <is>
          <t>OUT_CROP_REVENUE</t>
        </is>
      </c>
      <c r="E36" s="4" t="inlineStr">
        <is>
          <t>OUT_CROP_FERT_COST</t>
        </is>
      </c>
      <c r="F36" s="4" t="inlineStr">
        <is>
          <t>OUT_CROP_LABOR_COST</t>
        </is>
      </c>
      <c r="G36" s="4" t="inlineStr">
        <is>
          <t>OUT_CROP_PROFIT</t>
        </is>
      </c>
    </row>
    <row r="37">
      <c r="A37" s="24" t="inlineStr">
        <is>
          <t>Tomatoes</t>
        </is>
      </c>
      <c r="B37" s="14">
        <f>TOM_BEDS</f>
        <v/>
      </c>
      <c r="C37" s="15">
        <f>B14</f>
        <v/>
      </c>
      <c r="D37" s="17">
        <f>TOM_BEDS*TOM_PRICE</f>
        <v/>
      </c>
      <c r="E37" s="17">
        <f>TOM_BEDS*TOM_FERT</f>
        <v/>
      </c>
      <c r="F37" s="17">
        <f>C37*OUT_BLENDED_RATE</f>
        <v/>
      </c>
      <c r="G37" s="17">
        <f>D37-E37-F37</f>
        <v/>
      </c>
    </row>
    <row r="38">
      <c r="A38" s="24" t="inlineStr">
        <is>
          <t>Carrots</t>
        </is>
      </c>
      <c r="B38" s="14">
        <f>CAR_BEDS</f>
        <v/>
      </c>
      <c r="C38" s="15">
        <f>B15</f>
        <v/>
      </c>
      <c r="D38" s="17">
        <f>CAR_BEDS*CAR_PRICE</f>
        <v/>
      </c>
      <c r="E38" s="17">
        <f>CAR_BEDS*CAR_FERT</f>
        <v/>
      </c>
      <c r="F38" s="17">
        <f>C38*OUT_BLENDED_RATE</f>
        <v/>
      </c>
      <c r="G38" s="17">
        <f>D38-E38-F38</f>
        <v/>
      </c>
    </row>
    <row r="39">
      <c r="A39" s="24" t="inlineStr">
        <is>
          <t>Mesclun</t>
        </is>
      </c>
      <c r="B39" s="14">
        <f>MES_BEDS</f>
        <v/>
      </c>
      <c r="C39" s="15">
        <f>B16</f>
        <v/>
      </c>
      <c r="D39" s="17">
        <f>MES_BEDS*MES_PRICE</f>
        <v/>
      </c>
      <c r="E39" s="17">
        <f>MES_BEDS*MES_FERT</f>
        <v/>
      </c>
      <c r="F39" s="17">
        <f>C39*OUT_BLENDED_RATE</f>
        <v/>
      </c>
      <c r="G39" s="17">
        <f>D39-E39-F39</f>
        <v/>
      </c>
    </row>
    <row r="40">
      <c r="A40" s="5" t="inlineStr">
        <is>
          <t>Total</t>
        </is>
      </c>
      <c r="B40" s="25">
        <f>SUM(B37:B39)</f>
        <v/>
      </c>
      <c r="C40" s="26">
        <f>SUM(C37:C39)</f>
        <v/>
      </c>
      <c r="D40" s="27">
        <f>SUM(D37:D39)</f>
        <v/>
      </c>
      <c r="E40" s="27">
        <f>SUM(E37:E39)</f>
        <v/>
      </c>
      <c r="F40" s="27">
        <f>SUM(F37:F39)</f>
        <v/>
      </c>
      <c r="G40" s="27">
        <f>SUM(G37:G39)</f>
        <v/>
      </c>
    </row>
    <row r="41">
      <c r="A41" t="inlineStr">
        <is>
          <t>Less OUT_FIXED_COST</t>
        </is>
      </c>
      <c r="G41" s="17">
        <f>-OUT_FIXED_COST</f>
        <v/>
      </c>
    </row>
    <row r="42">
      <c r="A42" s="5" t="inlineStr">
        <is>
          <t>Reconciles to OUT_SEASON_PROFIT</t>
        </is>
      </c>
      <c r="G42" s="28">
        <f>G40+G41</f>
        <v/>
      </c>
    </row>
    <row r="43"/>
    <row r="44">
      <c r="A44" s="5" t="inlineStr">
        <is>
          <t>OUT_PNL_RECONCILES</t>
        </is>
      </c>
      <c r="B44" s="29">
        <f>IF(AND(ABS(SUM(OUT_CROP_LABOR_COST)-OUT_LABOR_COST)&lt;0.000001,ABS(SUM(OUT_CROP_PROFIT)-OUT_FIXED_COST-OUT_SEASON_PROFIT)&lt;0.000001),"OK","VIOLATED")</f>
        <v/>
      </c>
      <c r="D44" s="2" t="inlineStr">
        <is>
          <t>OK when the three crop labor costs sum to OUT_LABOR_COST and the three crop profits less OUT_FIXED_COST equal OUT_SEASON_PROFIT.</t>
        </is>
      </c>
    </row>
    <row r="45"/>
    <row r="46">
      <c r="A46" s="3" t="inlineStr">
        <is>
          <t>Solver setup (V6)</t>
        </is>
      </c>
    </row>
    <row r="47">
      <c r="A47" s="5" t="inlineStr">
        <is>
          <t>Engine</t>
        </is>
      </c>
      <c r="B47" t="inlineStr">
        <is>
          <t>GRG Nonlinear, with integer decision variables</t>
        </is>
      </c>
    </row>
    <row r="48">
      <c r="A48" s="5" t="inlineStr">
        <is>
          <t>Objective</t>
        </is>
      </c>
      <c r="B48" t="inlineStr">
        <is>
          <t>Maximize OUT_SEASON_PROFIT (Optimization!$B$32)</t>
        </is>
      </c>
    </row>
    <row r="49">
      <c r="A49" s="5" t="inlineStr">
        <is>
          <t>By changing</t>
        </is>
      </c>
      <c r="B49" t="inlineStr">
        <is>
          <t>TOM_BEDS, CAR_BEDS, MES_BEDS (Inputs!$B$36:$B$38)</t>
        </is>
      </c>
    </row>
    <row r="50">
      <c r="A50" s="5" t="inlineStr">
        <is>
          <t>Constraint 1</t>
        </is>
      </c>
      <c r="B50" t="inlineStr">
        <is>
          <t>TOM_BEDS &lt;= TOM_CAP  (20)</t>
        </is>
      </c>
    </row>
    <row r="51">
      <c r="A51" s="5" t="inlineStr">
        <is>
          <t>Constraint 2</t>
        </is>
      </c>
      <c r="B51" t="inlineStr">
        <is>
          <t>CAR_BEDS &lt;= CAR_CAP  (20)</t>
        </is>
      </c>
    </row>
    <row r="52">
      <c r="A52" s="5" t="inlineStr">
        <is>
          <t>Constraint 3</t>
        </is>
      </c>
      <c r="B52" t="inlineStr">
        <is>
          <t>MES_BEDS &lt;= MES_CAP  (30)</t>
        </is>
      </c>
    </row>
    <row r="53">
      <c r="A53" s="5" t="inlineStr">
        <is>
          <t>Constraint 4</t>
        </is>
      </c>
      <c r="B53" t="inlineStr">
        <is>
          <t>OUT_BEDS_USED &lt;= FARM_BED_CAP  (64)</t>
        </is>
      </c>
    </row>
    <row r="54">
      <c r="A54" s="5" t="inlineStr">
        <is>
          <t>Constraint 5</t>
        </is>
      </c>
      <c r="B54" t="inlineStr">
        <is>
          <t>OUT_TEMP_WORKERS &lt;= TEMP_WORKERS_MAX  (4)</t>
        </is>
      </c>
    </row>
    <row r="55">
      <c r="A55" s="5" t="inlineStr">
        <is>
          <t>Constraint 6</t>
        </is>
      </c>
      <c r="B55" t="inlineStr">
        <is>
          <t>TOM_BEDS, CAR_BEDS, MES_BEDS = integer</t>
        </is>
      </c>
    </row>
    <row r="56">
      <c r="A56" s="5" t="inlineStr">
        <is>
          <t>Constraint 7</t>
        </is>
      </c>
      <c r="B56" t="inlineStr">
        <is>
          <t>TOM_BEDS, CAR_BEDS, MES_BEDS &gt;= 0</t>
        </is>
      </c>
    </row>
    <row r="57">
      <c r="A57" s="5" t="inlineStr">
        <is>
          <t>Not a constraint</t>
        </is>
      </c>
      <c r="B57" t="inlineStr">
        <is>
          <t>The farmer's 720 hours. She works them or she does not; what is beyond them is hired.</t>
        </is>
      </c>
    </row>
    <row r="58">
      <c r="A58" s="5" t="inlineStr">
        <is>
          <t>Run it twice</t>
        </is>
      </c>
      <c r="B58" t="inlineStr">
        <is>
          <t>From 0/0/0 and from 20/0/0 (V3). 20/0/0 is infeasible on purpose: 12,109 hours, about eight temps against a cap of four.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5"/>
  <cols>
    <col width="46" customWidth="1" min="1" max="1"/>
    <col width="22" customWidth="1" min="2" max="2"/>
    <col width="56" customWidth="1" min="3" max="3"/>
    <col width="86" customWidth="1" min="4" max="4"/>
  </cols>
  <sheetData>
    <row r="1">
      <c r="A1" s="1" t="inlineStr">
        <is>
          <t>Validation</t>
        </is>
      </c>
    </row>
    <row r="2">
      <c r="A2" s="2" t="inlineStr">
        <is>
          <t>Every check below is computed in this workbook and displays OK or VIOLATED — no other wording, so a failed check is visible at a glance rather than read for.</t>
        </is>
      </c>
    </row>
    <row r="4">
      <c r="A4" s="3" t="inlineStr">
        <is>
          <t>The constraints (V5 — 'all constraints satisfied')</t>
        </is>
      </c>
    </row>
    <row r="5">
      <c r="A5" s="4" t="inlineStr">
        <is>
          <t>Constraint</t>
        </is>
      </c>
      <c r="B5" s="4" t="inlineStr">
        <is>
          <t>Check</t>
        </is>
      </c>
      <c r="C5" s="4" t="inlineStr">
        <is>
          <t>Rule</t>
        </is>
      </c>
      <c r="D5" s="4" t="inlineStr">
        <is>
          <t>Note</t>
        </is>
      </c>
    </row>
    <row r="6">
      <c r="A6" t="inlineStr">
        <is>
          <t>Tomato bed cap</t>
        </is>
      </c>
      <c r="B6" s="30">
        <f>IF(TOM_BEDS&lt;=TOM_CAP,"OK","VIOLATED")</f>
        <v/>
      </c>
      <c r="C6" t="inlineStr">
        <is>
          <t>TOM_BEDS &lt;= TOM_CAP (20)</t>
        </is>
      </c>
      <c r="D6" s="2" t="inlineStr"/>
    </row>
    <row r="7">
      <c r="A7" t="inlineStr">
        <is>
          <t>Carrot bed cap</t>
        </is>
      </c>
      <c r="B7" s="30">
        <f>IF(CAR_BEDS&lt;=CAR_CAP,"OK","VIOLATED")</f>
        <v/>
      </c>
      <c r="C7" t="inlineStr">
        <is>
          <t>CAR_BEDS &lt;= CAR_CAP (20)</t>
        </is>
      </c>
      <c r="D7" s="2" t="inlineStr"/>
    </row>
    <row r="8">
      <c r="A8" t="inlineStr">
        <is>
          <t>Mesclun bed cap</t>
        </is>
      </c>
      <c r="B8" s="30">
        <f>IF(MES_BEDS&lt;=MES_CAP,"OK","VIOLATED")</f>
        <v/>
      </c>
      <c r="C8" t="inlineStr">
        <is>
          <t>MES_BEDS &lt;= MES_CAP (30)</t>
        </is>
      </c>
      <c r="D8" s="2" t="inlineStr"/>
    </row>
    <row r="9">
      <c r="A9" t="inlineStr">
        <is>
          <t>Farm bed cap</t>
        </is>
      </c>
      <c r="B9" s="30">
        <f>IF(OUT_BEDS_USED&lt;=FARM_BED_CAP,"OK","VIOLATED")</f>
        <v/>
      </c>
      <c r="C9" t="inlineStr">
        <is>
          <t>TOM_BEDS + CAR_BEDS + MES_BEDS &lt;= FARM_BED_CAP (64)</t>
        </is>
      </c>
      <c r="D9" s="2" t="inlineStr"/>
    </row>
    <row r="10">
      <c r="A10" t="inlineStr">
        <is>
          <t>Temporary workers</t>
        </is>
      </c>
      <c r="B10" s="30">
        <f>IF(OUT_TEMP_WORKERS&lt;=TEMP_WORKERS_MAX,"OK","VIOLATED")</f>
        <v/>
      </c>
      <c r="C10" t="inlineStr">
        <is>
          <t>OUT_TEMP_WORKERS &lt;= TEMP_WORKERS_MAX (4). The constraint is on whole workers, not hours.</t>
        </is>
      </c>
      <c r="D10" s="2" t="inlineStr"/>
    </row>
    <row r="11">
      <c r="A11" t="inlineStr">
        <is>
          <t>Whole beds</t>
        </is>
      </c>
      <c r="B11" s="30">
        <f>IF(AND(TOM_BEDS=INT(TOM_BEDS),CAR_BEDS=INT(CAR_BEDS),MES_BEDS=INT(MES_BEDS)),"OK","VIOLATED")</f>
        <v/>
      </c>
      <c r="C11" t="inlineStr">
        <is>
          <t>All three bed counts are integers</t>
        </is>
      </c>
      <c r="D11" s="2" t="inlineStr"/>
    </row>
    <row r="12">
      <c r="A12" t="inlineStr">
        <is>
          <t>Non-negative</t>
        </is>
      </c>
      <c r="B12" s="30">
        <f>IF(AND(TOM_BEDS&gt;=0,CAR_BEDS&gt;=0,MES_BEDS&gt;=0),"OK","VIOLATED")</f>
        <v/>
      </c>
      <c r="C12" t="inlineStr">
        <is>
          <t>All three bed counts are &gt;= 0</t>
        </is>
      </c>
      <c r="D12" s="2" t="inlineStr"/>
    </row>
    <row r="14">
      <c r="A14" s="5" t="inlineStr">
        <is>
          <t>OUT_CONSTRAINTS_OK</t>
        </is>
      </c>
      <c r="B14" s="31">
        <f>IF(COUNTIF($B$6:$B$12,"VIOLATED")=0,"OK","VIOLATED")</f>
        <v/>
      </c>
      <c r="D14" s="2" t="inlineStr">
        <is>
          <t>OK only when every constraint check above reads OK.</t>
        </is>
      </c>
    </row>
    <row r="16">
      <c r="A16" s="3" t="inlineStr">
        <is>
          <t>V1 — Hand check, one tomato bed</t>
        </is>
      </c>
    </row>
    <row r="17">
      <c r="A17" s="4" t="inlineStr">
        <is>
          <t>Item</t>
        </is>
      </c>
      <c r="B17" s="4" t="inlineStr">
        <is>
          <t>Check / value</t>
        </is>
      </c>
      <c r="C17" s="4" t="inlineStr">
        <is>
          <t>Expected</t>
        </is>
      </c>
      <c r="D17" s="4" t="inlineStr">
        <is>
          <t>Note</t>
        </is>
      </c>
    </row>
    <row r="18">
      <c r="A18" t="inlineStr">
        <is>
          <t>Model, LABOR_HRS at q = 1 (tomato)</t>
        </is>
      </c>
      <c r="B18" s="15">
        <f>INDEX('Marginal Analysis'!$B$8:$B$27,1)</f>
        <v/>
      </c>
      <c r="C18" s="32" t="n">
        <v>99</v>
      </c>
      <c r="D18" s="2" t="inlineStr">
        <is>
          <t>1 x 2.5 x 36 x 1.10 = 99 hours, computed by hand.</t>
        </is>
      </c>
    </row>
    <row r="19">
      <c r="A19" t="inlineStr">
        <is>
          <t>V1 check</t>
        </is>
      </c>
      <c r="B19" s="30">
        <f>IF(ABS(B18-C18)&lt;0.000000001,"OK","VIOLATED")</f>
        <v/>
      </c>
      <c r="C19" t="inlineStr">
        <is>
          <t>Would catch a dropped (1 + dim)^q term: without the exponent the same cell returns 90 hours.</t>
        </is>
      </c>
      <c r="D19" s="2" t="inlineStr"/>
    </row>
    <row r="21">
      <c r="A21" s="3" t="inlineStr">
        <is>
          <t>V2 — Cross-check against the Farm Profit Lab</t>
        </is>
      </c>
    </row>
    <row r="22">
      <c r="A22" s="2" t="inlineStr">
        <is>
          <t>Taken from the middle of a schedule, not from either end: an endpoint can agree by accident where the interior cannot. Enter the Farm Profit Lab's figure in the shaded cell; the check is a formula.</t>
        </is>
      </c>
    </row>
    <row r="23">
      <c r="A23" s="4" t="inlineStr">
        <is>
          <t>Item</t>
        </is>
      </c>
      <c r="B23" s="4" t="inlineStr">
        <is>
          <t>Value</t>
        </is>
      </c>
      <c r="C23" s="4" t="inlineStr">
        <is>
          <t>Expected</t>
        </is>
      </c>
      <c r="D23" s="4" t="inlineStr">
        <is>
          <t>Note</t>
        </is>
      </c>
    </row>
    <row r="24">
      <c r="A24" t="inlineStr">
        <is>
          <t>This model, MC of tomato bed 10</t>
        </is>
      </c>
      <c r="B24" s="17">
        <f>INDEX('Marginal Analysis'!$G$8:$G$27,10)</f>
        <v/>
      </c>
      <c r="D24" s="2" t="inlineStr">
        <is>
          <t>Spec V2 detail: this model returns $8,249.</t>
        </is>
      </c>
    </row>
    <row r="25">
      <c r="A25" t="inlineStr">
        <is>
          <t>Farm Profit Lab, MC of tomato bed 10  &lt;- ENTER OBSERVED</t>
        </is>
      </c>
      <c r="B25" s="33" t="n"/>
      <c r="D25" s="2" t="inlineStr">
        <is>
          <t>Observed input, not a calculated cell. Left empty until the Lab is run; the check below reads VIOLATED while it is empty.</t>
        </is>
      </c>
    </row>
    <row r="26">
      <c r="A26" t="inlineStr">
        <is>
          <t>V2 check</t>
        </is>
      </c>
      <c r="B26" s="30">
        <f>IF(AND(ISNUMBER(B25),ROUND(B24,0)=ROUND(B25,0)),"OK","VIOLATED")</f>
        <v/>
      </c>
      <c r="C26" t="inlineStr">
        <is>
          <t>Must agree to the dollar.</t>
        </is>
      </c>
      <c r="D26" s="2" t="inlineStr"/>
    </row>
    <row r="28">
      <c r="A28" s="3" t="inlineStr">
        <is>
          <t>V3 — Solver from two starting points</t>
        </is>
      </c>
    </row>
    <row r="29">
      <c r="A29" s="2" t="inlineStr">
        <is>
          <t>Run Solver from 0/0/0 and again from 20/0/0 and record the season profit each run reports. Both runs have to agree on season profit; they do not have to arrive by the same route. If the profit differs, one of them found a local optimum and the result is not the answer.</t>
        </is>
      </c>
    </row>
    <row r="30">
      <c r="A30" s="4" t="inlineStr">
        <is>
          <t>Item</t>
        </is>
      </c>
      <c r="B30" s="4" t="inlineStr">
        <is>
          <t>Value</t>
        </is>
      </c>
      <c r="C30" s="4" t="inlineStr">
        <is>
          <t>Expected</t>
        </is>
      </c>
      <c r="D30" s="4" t="inlineStr">
        <is>
          <t>Note</t>
        </is>
      </c>
    </row>
    <row r="31">
      <c r="A31" t="inlineStr">
        <is>
          <t>Season profit from start 0/0/0  &lt;- ENTER OBSERVED</t>
        </is>
      </c>
      <c r="B31" s="33" t="n"/>
    </row>
    <row r="32">
      <c r="A32" t="inlineStr">
        <is>
          <t>Season profit from start 20/0/0  &lt;- ENTER OBSERVED</t>
        </is>
      </c>
      <c r="B32" s="33" t="n"/>
      <c r="D32" s="2" t="inlineStr">
        <is>
          <t>20/0/0 is infeasible on purpose: 20 tomato beds needs 12,109 hours, about eight temp workers against a cap of four.</t>
        </is>
      </c>
    </row>
    <row r="33">
      <c r="A33" t="inlineStr">
        <is>
          <t>V3 check</t>
        </is>
      </c>
      <c r="B33" s="30">
        <f>IF(AND(ISNUMBER(B31),ISNUMBER(B32),ROUND(B31,0)=ROUND(B32,0)),"OK","VIOLATED")</f>
        <v/>
      </c>
      <c r="C33" t="inlineStr">
        <is>
          <t>Both runs agree on season profit to the dollar.</t>
        </is>
      </c>
      <c r="D33" s="2" t="inlineStr"/>
    </row>
    <row r="35">
      <c r="A35" s="3" t="inlineStr">
        <is>
          <t>V4 — Acceptance criteria</t>
        </is>
      </c>
    </row>
    <row r="36">
      <c r="A36" s="4" t="inlineStr">
        <is>
          <t>Check</t>
        </is>
      </c>
      <c r="B36" s="4" t="inlineStr">
        <is>
          <t>Result</t>
        </is>
      </c>
      <c r="C36" s="4" t="inlineStr">
        <is>
          <t>Required</t>
        </is>
      </c>
      <c r="D36" s="4" t="inlineStr">
        <is>
          <t>Note</t>
        </is>
      </c>
    </row>
    <row r="37">
      <c r="A37" t="inlineStr">
        <is>
          <t>Optimal mix</t>
        </is>
      </c>
      <c r="B37" s="30">
        <f>IF(AND(OUT_TOM_BEDS=10,OUT_CAR_BEDS=20,OUT_MES_BEDS=30),"OK","VIOLATED")</f>
        <v/>
      </c>
      <c r="C37" t="inlineStr">
        <is>
          <t>10 tomatoes / 20 carrots / 30 mesclun</t>
        </is>
      </c>
      <c r="D37" s="2">
        <f>"Model: "&amp;OUT_TOM_BEDS&amp;" / "&amp;OUT_CAR_BEDS&amp;" / "&amp;OUT_MES_BEDS</f>
        <v/>
      </c>
    </row>
    <row r="38">
      <c r="A38" t="inlineStr">
        <is>
          <t>Season profit</t>
        </is>
      </c>
      <c r="B38" s="30">
        <f>IF(AND(ROUND(OUT_SEASON_PROFIT,0)=42762,OUT_SEASON_PROFIT&lt;=42762),"OK","VIOLATED")</f>
        <v/>
      </c>
      <c r="C38" t="inlineStr">
        <is>
          <t>Rounds to $42,762 and does not exceed it</t>
        </is>
      </c>
      <c r="D38" s="2">
        <f>"Model: "&amp;TEXT(OUT_SEASON_PROFIT,"$#,##0.00")</f>
        <v/>
      </c>
    </row>
    <row r="39">
      <c r="A39" t="inlineStr">
        <is>
          <t>Standalone P = MC points</t>
        </is>
      </c>
      <c r="B39" s="30">
        <f>IF(AND(OUT_CROSSING_TOM=10,OUT_CROSSING_CAR=10,OUT_CROSSING_MES=6),"OK","VIOLATED")</f>
        <v/>
      </c>
      <c r="C39" t="inlineStr">
        <is>
          <t>Tomatoes 10 / Carrots 10 / Mesclun 6 — exact bed counts, no tolerance</t>
        </is>
      </c>
      <c r="D39" s="2">
        <f>"Model: "&amp;OUT_CROSSING_TOM&amp;" / "&amp;OUT_CROSSING_CAR&amp;" / "&amp;OUT_CROSSING_MES</f>
        <v/>
      </c>
    </row>
    <row r="41">
      <c r="A41" s="3" t="inlineStr">
        <is>
          <t>V5 — Integrity</t>
        </is>
      </c>
    </row>
    <row r="42">
      <c r="A42" s="4" t="inlineStr">
        <is>
          <t>Check</t>
        </is>
      </c>
      <c r="B42" s="4" t="inlineStr">
        <is>
          <t>Result</t>
        </is>
      </c>
      <c r="C42" s="4" t="inlineStr">
        <is>
          <t>Required</t>
        </is>
      </c>
      <c r="D42" s="4" t="inlineStr">
        <is>
          <t>Note</t>
        </is>
      </c>
    </row>
    <row r="43">
      <c r="A43" t="inlineStr">
        <is>
          <t>No spreadsheet errors</t>
        </is>
      </c>
      <c r="B43" s="30">
        <f>IF(SUMPRODUCT(--ISERROR('Marginal Analysis'!$B$8:$K$27))+SUMPRODUCT(--ISERROR('Marginal Analysis'!$B$33:$K$52))+SUMPRODUCT(--ISERROR('Marginal Analysis'!$B$58:$K$87))+SUMPRODUCT(--ISERROR(Optimization!$B$5:$B$32))+SUMPRODUCT(--ISERROR(Optimization!$B$37:$G$39))=0,"OK","VIOLATED")</f>
        <v/>
      </c>
      <c r="C43" t="inlineStr">
        <is>
          <t>Zero error cells across the schedules and the optimization block</t>
        </is>
      </c>
      <c r="D43" s="2">
        <f>"Error cells found: "&amp;(SUMPRODUCT(--ISERROR('Marginal Analysis'!$B$8:$K$27))+SUMPRODUCT(--ISERROR('Marginal Analysis'!$B$33:$K$52))+SUMPRODUCT(--ISERROR('Marginal Analysis'!$B$58:$K$87))+SUMPRODUCT(--ISERROR(Optimization!$B$5:$B$32))+SUMPRODUCT(--ISERROR(Optimization!$B$37:$G$39)))</f>
        <v/>
      </c>
    </row>
    <row r="44">
      <c r="A44" t="inlineStr">
        <is>
          <t>All constraints satisfied</t>
        </is>
      </c>
      <c r="B44" s="30">
        <f>OUT_CONSTRAINTS_OK</f>
        <v/>
      </c>
      <c r="C44" t="inlineStr">
        <is>
          <t>OUT_CONSTRAINTS_OK reads OK</t>
        </is>
      </c>
    </row>
    <row r="45">
      <c r="A45" t="inlineStr">
        <is>
          <t>Per-crop P&amp;L reconciles</t>
        </is>
      </c>
      <c r="B45" s="30">
        <f>OUT_PNL_RECONCILES</f>
        <v/>
      </c>
      <c r="C45" t="inlineStr">
        <is>
          <t>Crop labor costs sum to OUT_LABOR_COST; crop profits less fixed cost equal season profit</t>
        </is>
      </c>
    </row>
    <row r="46">
      <c r="A46" t="inlineStr">
        <is>
          <t>Rates derived, not typed</t>
        </is>
      </c>
      <c r="B46" s="30">
        <f>IF(AND(ABS(PERM_RATE-FARMER_SALARY/2/PERM_HOURS)&lt;0.000000001,ABS(TEMP_RATE-TEMP_WORKER_PAY/TEMP_WORKER_HRS)&lt;0.000000001,ABS(PERM_RATE-34.72)&gt;0.0001),"OK","VIOLATED")</f>
        <v/>
      </c>
      <c r="C46" t="inlineStr">
        <is>
          <t>Exact quotients, not the printed $34.72 / $17.36</t>
        </is>
      </c>
      <c r="D46" s="2" t="inlineStr">
        <is>
          <t>Typing the printed values returns a season profit of $42,768 against a check figure of $42,762.</t>
        </is>
      </c>
    </row>
    <row r="48">
      <c r="A48" s="3" t="inlineStr">
        <is>
          <t>V7 — The crossing rule</t>
        </is>
      </c>
    </row>
    <row r="49">
      <c r="A49" s="4" t="inlineStr">
        <is>
          <t>Check</t>
        </is>
      </c>
      <c r="B49" s="4" t="inlineStr">
        <is>
          <t>Result</t>
        </is>
      </c>
      <c r="C49" s="4" t="inlineStr">
        <is>
          <t>Required</t>
        </is>
      </c>
      <c r="D49" s="4" t="inlineStr">
        <is>
          <t>Note</t>
        </is>
      </c>
    </row>
    <row r="50">
      <c r="A50" t="inlineStr">
        <is>
          <t>Tomatoes — Plant block never restarts</t>
        </is>
      </c>
      <c r="B50" s="30">
        <f>IF(COUNTIF('Marginal Analysis'!$J$8:$J$27,"Plant")=IFERROR(MATCH("Stop",'Marginal Analysis'!$J$8:$J$27,0),20+1)-1,"OK","VIOLATED")</f>
        <v/>
      </c>
      <c r="C50" t="inlineStr">
        <is>
          <t>Every Plant precedes every Stop — the block starts at bed 1 and never restarts</t>
        </is>
      </c>
    </row>
    <row r="51">
      <c r="A51" t="inlineStr">
        <is>
          <t>Carrots — Plant block never restarts</t>
        </is>
      </c>
      <c r="B51" s="30">
        <f>IF(COUNTIF('Marginal Analysis'!$J$33:$J$52,"Plant")=IFERROR(MATCH("Stop",'Marginal Analysis'!$J$33:$J$52,0),20+1)-1,"OK","VIOLATED")</f>
        <v/>
      </c>
      <c r="C51" t="inlineStr">
        <is>
          <t>Every Plant precedes every Stop — the block starts at bed 1 and never restarts</t>
        </is>
      </c>
      <c r="D51" s="2" t="inlineStr">
        <is>
          <t>Catches the first build's defect: Plant 1-10, Stop 11-16, then Plant again 17-20. A per-bed label reports no crossing point at all.</t>
        </is>
      </c>
    </row>
    <row r="52">
      <c r="A52" t="inlineStr">
        <is>
          <t>Mesclun — Plant block never restarts</t>
        </is>
      </c>
      <c r="B52" s="30">
        <f>IF(COUNTIF('Marginal Analysis'!$J$58:$J$87,"Plant")=IFERROR(MATCH("Stop",'Marginal Analysis'!$J$58:$J$87,0),30+1)-1,"OK","VIOLATED")</f>
        <v/>
      </c>
      <c r="C52" t="inlineStr">
        <is>
          <t>Every Plant precedes every Stop — the block starts at bed 1 and never restarts</t>
        </is>
      </c>
      <c r="D52" s="2" t="inlineStr">
        <is>
          <t>Mesclun stopped at 6 and came back under price at 14; it stays stopped.</t>
        </is>
      </c>
    </row>
    <row r="55">
      <c r="A55" s="3" t="inlineStr">
        <is>
          <t>Reported, not explained (spec §5)</t>
        </is>
      </c>
    </row>
    <row r="56">
      <c r="A56" s="4" t="inlineStr">
        <is>
          <t>Output</t>
        </is>
      </c>
      <c r="B56" s="4" t="inlineStr">
        <is>
          <t>Value</t>
        </is>
      </c>
      <c r="C56" s="4" t="inlineStr">
        <is>
          <t>Unit</t>
        </is>
      </c>
      <c r="D56" s="4" t="inlineStr">
        <is>
          <t>Note</t>
        </is>
      </c>
    </row>
    <row r="57">
      <c r="A57" t="inlineStr">
        <is>
          <t>OUT_TOM_DIP_BED</t>
        </is>
      </c>
      <c r="B57" s="14">
        <f>OUT_TOM_DIP_BED</f>
        <v/>
      </c>
      <c r="C57" t="inlineStr">
        <is>
          <t>bed</t>
        </is>
      </c>
      <c r="D57" s="2" t="inlineStr">
        <is>
          <t>Locating the dip is this stage's job; accounting for it is Stage 3's.</t>
        </is>
      </c>
    </row>
    <row r="58">
      <c r="A58" t="inlineStr">
        <is>
          <t>OUT_TOM_DIP_SIZE</t>
        </is>
      </c>
      <c r="B58" s="17">
        <f>OUT_TOM_DIP_SIZE</f>
        <v/>
      </c>
      <c r="C58" t="inlineStr">
        <is>
          <t>$</t>
        </is>
      </c>
    </row>
  </sheetData>
  <conditionalFormatting sqref="B6:B12">
    <cfRule type="cellIs" priority="1" operator="equal" dxfId="0">
      <formula>"OK"</formula>
    </cfRule>
    <cfRule type="cellIs" priority="2" operator="equal" dxfId="1">
      <formula>"VIOLATED"</formula>
    </cfRule>
  </conditionalFormatting>
  <conditionalFormatting sqref="B14">
    <cfRule type="cellIs" priority="3" operator="equal" dxfId="0">
      <formula>"OK"</formula>
    </cfRule>
    <cfRule type="cellIs" priority="4" operator="equal" dxfId="1">
      <formula>"VIOLATED"</formula>
    </cfRule>
  </conditionalFormatting>
  <conditionalFormatting sqref="B19">
    <cfRule type="cellIs" priority="5" operator="equal" dxfId="0">
      <formula>"OK"</formula>
    </cfRule>
    <cfRule type="cellIs" priority="6" operator="equal" dxfId="1">
      <formula>"VIOLATED"</formula>
    </cfRule>
  </conditionalFormatting>
  <conditionalFormatting sqref="B26">
    <cfRule type="cellIs" priority="7" operator="equal" dxfId="0">
      <formula>"OK"</formula>
    </cfRule>
    <cfRule type="cellIs" priority="8" operator="equal" dxfId="1">
      <formula>"VIOLATED"</formula>
    </cfRule>
  </conditionalFormatting>
  <conditionalFormatting sqref="B33">
    <cfRule type="cellIs" priority="9" operator="equal" dxfId="0">
      <formula>"OK"</formula>
    </cfRule>
    <cfRule type="cellIs" priority="10" operator="equal" dxfId="1">
      <formula>"VIOLATED"</formula>
    </cfRule>
  </conditionalFormatting>
  <conditionalFormatting sqref="B37:B39">
    <cfRule type="cellIs" priority="11" operator="equal" dxfId="0">
      <formula>"OK"</formula>
    </cfRule>
    <cfRule type="cellIs" priority="12" operator="equal" dxfId="1">
      <formula>"VIOLATED"</formula>
    </cfRule>
  </conditionalFormatting>
  <conditionalFormatting sqref="B43:B46">
    <cfRule type="cellIs" priority="13" operator="equal" dxfId="0">
      <formula>"OK"</formula>
    </cfRule>
    <cfRule type="cellIs" priority="14" operator="equal" dxfId="1">
      <formula>"VIOLATED"</formula>
    </cfRule>
  </conditionalFormatting>
  <conditionalFormatting sqref="B50:B52">
    <cfRule type="cellIs" priority="15" operator="equal" dxfId="0">
      <formula>"OK"</formula>
    </cfRule>
    <cfRule type="cellIs" priority="16" operator="equal" dxfId="1">
      <formula>"VIOLATED"</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2026-09-09T03:29:30Z</dcterms:created>
  <dcterms:modified xsi:type="dcterms:W3CDTF">2026-09-09T03:29:30Z</dcterms:modified>
</cp:coreProperties>
</file>